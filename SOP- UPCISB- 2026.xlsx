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krisha_bhanushali_in_ey_com/Documents/UPCISB/"/>
    </mc:Choice>
  </mc:AlternateContent>
  <xr:revisionPtr revIDLastSave="311" documentId="8_{E7BD5A42-2140-4CA2-B7AD-BAD2F948DDEB}" xr6:coauthVersionLast="47" xr6:coauthVersionMax="47" xr10:uidLastSave="{FE34F3B4-5C72-4BF4-BE38-8502BEB162E0}"/>
  <bookViews>
    <workbookView xWindow="-110" yWindow="-110" windowWidth="19420" windowHeight="11500" activeTab="1" xr2:uid="{4650FB83-5049-4BCD-983D-4249BCFD0327}"/>
  </bookViews>
  <sheets>
    <sheet name="Plotting" sheetId="2" r:id="rId1"/>
    <sheet name="SOP" sheetId="1" r:id="rId2"/>
    <sheet name="Server room threshold" sheetId="5" r:id="rId3"/>
    <sheet name="Schedule" sheetId="8" r:id="rId4"/>
  </sheets>
  <definedNames>
    <definedName name="_xlnm._FilterDatabase" localSheetId="0" hidden="1">Plotting!$A$3:$W$41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2" i="2" l="1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</calcChain>
</file>

<file path=xl/sharedStrings.xml><?xml version="1.0" encoding="utf-8"?>
<sst xmlns="http://schemas.openxmlformats.org/spreadsheetml/2006/main" count="805" uniqueCount="173">
  <si>
    <t>S.N.</t>
  </si>
  <si>
    <t>Analytics</t>
  </si>
  <si>
    <t>Frequency</t>
  </si>
  <si>
    <t>Camera Type</t>
  </si>
  <si>
    <t>Start time</t>
  </si>
  <si>
    <t>End time</t>
  </si>
  <si>
    <t>Intruder detection in exam lab and server room</t>
  </si>
  <si>
    <t>Inside Lab / Server room</t>
  </si>
  <si>
    <t>-</t>
  </si>
  <si>
    <t>Improper furniture</t>
  </si>
  <si>
    <t>Inside Lab</t>
  </si>
  <si>
    <t>Crowd Detection - More than 10 people at entry gate</t>
  </si>
  <si>
    <t>2 Minutes</t>
  </si>
  <si>
    <t>Outside/ Entry Exit</t>
  </si>
  <si>
    <t>Yes</t>
  </si>
  <si>
    <t>Two or More People in Close Proximity</t>
  </si>
  <si>
    <t>Server Room</t>
  </si>
  <si>
    <t xml:space="preserve">Mobile Phone Detection </t>
  </si>
  <si>
    <t xml:space="preserve">Inside Lab </t>
  </si>
  <si>
    <t>Inside Server Room</t>
  </si>
  <si>
    <t>Movement at entry/ exit during examination</t>
  </si>
  <si>
    <t>Entry/Exit</t>
  </si>
  <si>
    <t>Camera feed is inverted</t>
  </si>
  <si>
    <t>Inside Lab/Server room/Outside</t>
  </si>
  <si>
    <t>0 candidate in a room</t>
  </si>
  <si>
    <t>Less than 5 candidates in a room</t>
  </si>
  <si>
    <t>Blind Spot detected inside lab</t>
  </si>
  <si>
    <t>Shift 3(4.00 PM - 6.00 PM)</t>
  </si>
  <si>
    <t>3 Minutes</t>
  </si>
  <si>
    <t>Count of centres where analysis needs to be done</t>
  </si>
  <si>
    <t>STATE</t>
  </si>
  <si>
    <t>CENTRE</t>
  </si>
  <si>
    <t>TC CODE</t>
  </si>
  <si>
    <t>VENUE ADDRESS</t>
  </si>
  <si>
    <t>S1</t>
  </si>
  <si>
    <t>S2</t>
  </si>
  <si>
    <t>S3</t>
  </si>
  <si>
    <t>UTTAR PRADESH</t>
  </si>
  <si>
    <t>AGRA</t>
  </si>
  <si>
    <t xml:space="preserve">SANT RAM KRISHNA MAHAVIDHYALYA SHIVPURI BALKESHWAR AGRA UTTAR PRADESH 282004  </t>
  </si>
  <si>
    <t>Y</t>
  </si>
  <si>
    <t>G.B INFOTECH GYAN BHARTI COLLEGE OF EDUCATION 146 OPPOSITE NALANDA TOWN SHAMSHABAD ROAD AGRA UTTAR PRADESH 282004</t>
  </si>
  <si>
    <t xml:space="preserve">SMT. BHUDEVI P.G COLLEGE AGRA NEAR SACHDEVA MILLANIUM SCHOOL BODLA BICHPURI ROAD SINKANDRA AGRA UTTAR PRADESH 282007 </t>
  </si>
  <si>
    <t>ALIGARH</t>
  </si>
  <si>
    <t>ION DIGITAL ZONE IDZ KARSUA INSTITUTE OF TECHNOLOGY AND MANAGEMENT ALIGARH-PALWAL- DELHI ROAD KARSUA ALIGARH UP 202140</t>
  </si>
  <si>
    <t>BAREILLY</t>
  </si>
  <si>
    <t>ION DIGITAL ZONE IDZ DOHNA SHRI SIDDHI VINAYAK INSTITUTE OF TECHNOLOGY 10KM MILESTONE NAINITAL ROAD NEAR DOHNA RLY. STATION BAREILLY UP 243202</t>
  </si>
  <si>
    <t>SHRI SIDDHI VINAYAK INSTITUTE OF TECHNOLOGY 10 KM STONE NAINITAL ROAD NEAR DOHNA RAILWAY STATION BAREILLY UTTAR PRADESH 243202</t>
  </si>
  <si>
    <t>GHAZIABAD</t>
  </si>
  <si>
    <t>BBDIT A BLOCK DUHAI BABU BANARSI DAS INST.OF TECH. 7TH KM STONE FROM GHAZIABAD ON N.H.58 DELHI-MEERUT ROAD DUHAI GHAZIABAD UP 201206</t>
  </si>
  <si>
    <t>GORAKHPUR</t>
  </si>
  <si>
    <t xml:space="preserve">PARVATI DIGITAL ZONE RAMJANKI NAGAR NEAR PRATIMA LAWN BASHARATPUR GORAKHPUR UTTAR PRADESH 273004 </t>
  </si>
  <si>
    <t>CAVALIER ANIMATION EDUCATION FOUNDATION BHAGWANPUR NR JALAN FACTORY BARGADAWA CROSSING NR CHILUWATAL POLICE STATION GORAKHPUR UTTAR PRADESH-273007</t>
  </si>
  <si>
    <t xml:space="preserve">OXFORD PUBLIC SCHOOL KAJAKPUR NEAR BHAGAT CHAURAHA TARA MANDAL ROAD GORAKHPUR UTTAR PRADESH 273016 </t>
  </si>
  <si>
    <t>I TECH ZONE RAM GULAM RAI SHIKSHAN PRASHIKSHAN MAHAVIDYALAYA SEMARA AYODHYA PRASAD LAHASARI NEAR SIKTAUR CHAURAHA GORAKHPUR UP 273016</t>
  </si>
  <si>
    <t>JHANSI</t>
  </si>
  <si>
    <t xml:space="preserve">GYANSTHALI MAHAVIDYALAYA BACHAULI BARA GAON KANPUR HIGHWAY JHANSI UTTAR PRADESH 284121 </t>
  </si>
  <si>
    <t>LUCKNOW</t>
  </si>
  <si>
    <t xml:space="preserve">TECH TESTING SOLUTION C-1/32 TRANSPORT NAGAR NEAR PARKING NO. 8 PHASE-2 KANPUR ROAD LUCKNOW UTTAR PRADESH 226012 </t>
  </si>
  <si>
    <t xml:space="preserve">A.P.COMPUTER IIM ROAD PRABANDH NAGAR NEAR URDU FARSI UNIVERSITY LUCKNOW UTTAR PRADESH 226020 </t>
  </si>
  <si>
    <t>BR ONLINE SERVICES KHASRA NO.615 VILLAGE NATKUR BHONWAL INSTITUTE OF ENGINEERING BIJNOR NEAR CRPF CAMPUS LUCKNOW UTTAR PRADESH 226002</t>
  </si>
  <si>
    <t>SUN TESTING CENTER AIRFORCE STATION ROAD BAKSHI KA TAALAB NEAR AIR FORCE BASE MAIN GATE ROODAHI LUCKNOW UTTAR PRADESH 226201</t>
  </si>
  <si>
    <t>BASUDEV DIGITAL CENTER B-51 VIMAL NAGAR HARIHAR NAGAR NEAR MUNSHI PULIA NR BASUDEV MEMORIAL GIRLS DEGREE COLLEGE INDIRA NAGAR LUCKNOW UP 226028</t>
  </si>
  <si>
    <t>SULTAN FOUNDATION HAAME CAMPUS INFRONT OF AZAD GUEST HOUSE LUCKNOW KANPUR HIGHWAY DAROGA KHERA LUCKNOW UTTAR PRADESH 226401</t>
  </si>
  <si>
    <t>SS COMPUAGE LLP OMAXE AVENUE OMAXE CITY BIJNOUR ROAD NEAR BABA SAHEB BHIMRAO AMBEDKAR UNIVERSITY LUCKNOW UTTAR PRADESH 226025</t>
  </si>
  <si>
    <t xml:space="preserve">THIRUMALA EDUCATION ACADEMY NEAR DIAMOND RESORT RAI BAREILY ROAD MOHAN LAL GANJ LUCKNOW UTTAR PRADESH 226301 </t>
  </si>
  <si>
    <t>MEERUT</t>
  </si>
  <si>
    <t xml:space="preserve">BHARAT INSTITUTE OF TECHNOLOGY MEERUT BYPASS ROAD PARTAPUR MEERUT UTTAR PRADESH 250103  </t>
  </si>
  <si>
    <t>MORADABAD</t>
  </si>
  <si>
    <t>ION DIGITAL ZONE IDZ RAM GANGA VIHAR PHASE 2 MORADABAD INSTITUTE OF TECHNOLOGY MIT CAMPUS MDA COLONY KANTH ROAD MORADABAD UTTAR PRADESH 244001</t>
  </si>
  <si>
    <t>PRAYAGRAJ</t>
  </si>
  <si>
    <t xml:space="preserve">SHRI GANESH COLLEGE OF IT &amp; MANAGEMENT 56/15 A SHRI GANGA COMPLEX LUCKNOW ROAD PHAPHAMAU PRAYAGRAJ UTTAR PRADESH 211013 </t>
  </si>
  <si>
    <t>INDIAN INSTITUTE OF COMPUTER EDUCATION-CENTER 2 C P GAUTAM INTER COLLEGE JHALWA KAUSHAMBI ROAD ALLAHABAD UTTAR PRADESH 211012</t>
  </si>
  <si>
    <t xml:space="preserve">SHAMBHUNATH INSTITUTE OF ENGINEERING AND TECHNOLOGY-MAC NEAR RAHIMABAD CHOWKI JHALWA ALLAHABAD UTTAR PRADESH 211012 </t>
  </si>
  <si>
    <t>VARANASI</t>
  </si>
  <si>
    <t xml:space="preserve">DEWA MAHILA MAHAVIDYALAYA BELWA BABA OPP. LAMHI GATE AZAMGARH ROAD PANDEYPUR VARANASI UTTAR PRADESH 221002 </t>
  </si>
  <si>
    <t>GYANADA INSTITUTE OF COMPUTER TRAINING SHIVAJI NAGAR COLONY SAVITRI SADAN NIRALA NAGAR LANE NO.3 NEAR AKASHWANI MEHMOORGANJ VARANASI UP 221010</t>
  </si>
  <si>
    <t>PURNODAYA MAHILA MAHAVIDYALAYA DLW TO CHUNAR ROAD NEAR HANUMAN MANDIR BACHCHHAON BAZAR VARANASI UTTAR PRADESH 221011</t>
  </si>
  <si>
    <t>JEEVANDEEP INSTITUTE OF MANAGEMENT &amp; TECHNOLOGY BADA LALPUR BHOJUBEER SINDHORA MARG NEAR CHANDMARI P.O. LAMHII VARANASI U.P. 221007</t>
  </si>
  <si>
    <t xml:space="preserve">IHNC MAHAVEER BAZAR PLOT NO.310 NH-233 SAI POST-UDAYPUR MAHAVEER BAZAR AZAMGARH ROAD VARANASI UTTAR PRADESH 221101 </t>
  </si>
  <si>
    <t>DIGITRACK IT SERVICES IN CAMPUS DAV PG COLLEGE IN FRONT OF MAHARSHI DAYANAND INDOOR STADIUM NARHARPURA AUSANGANJ VARANASI UTTAR PRADESH 221001</t>
  </si>
  <si>
    <t>SHEETALA INSTITUTE OF TECHNOLOGY IN CAMPUS SHEETALA CHILDREN SCHOOL HARPALPUR LOHTA VARANASI UTTAR PRADESH 221107</t>
  </si>
  <si>
    <t>DROTCA - DHANNU RAM ONLINE TEST &amp; COMPUTER APPLICATION PVT. LTD NEAR JANSEVA HOSPITAL CHURAMANPUR CHANDPUR VARANASI UTTAR PRADESH 221106</t>
  </si>
  <si>
    <t>ION DIGITAL ZONE IDZ AYAR BAZAR 2 APRUP SHIKSHAN SANSTHAN AHIRAULLI AYAR BAZAR SINDHORA - GARTHAMA ROAD VARANASI UTTAR PRADESH 221202</t>
  </si>
  <si>
    <t>ION DIGITAL ZONE IDZ CHAUBEYPUR SW SUBEDAR SINGH SMRITI MAHILA MAHAVIDYALAYA VILLAGE KATESAR KALAN POST CHAUBEYPUR VARANASI UP 221104</t>
  </si>
  <si>
    <t>ION DIGITAL ZONE IDZ HARAHUWA CHAURAHA S R PLATINUM ENGLISH SCHOOL HARAHUWA CHAURAHA PANCHKOSHI MARG VARANASI UTTAR PRADESH 221105</t>
  </si>
  <si>
    <t>DR.GHANSHYAM SINGH COLLEGE OF EDUCATION GOSAAIPUR MOHAAV AZAMGARH ROAD 8 KM FROM PANDEYPUR VARANASI UTTAR PRADESH 221101</t>
  </si>
  <si>
    <t>INST.OF HARDWARE NETWORKING &amp; COMMUNICATION CENTER SARNATH IHNC-SARNATH SA 14/67 A-4-R NEAR SARNATH RAILWAY STATION SARNATH VARANASI UP 221007</t>
  </si>
  <si>
    <t>Camera count</t>
  </si>
  <si>
    <t>Zone</t>
  </si>
  <si>
    <t>Centre type</t>
  </si>
  <si>
    <t>Centre name</t>
  </si>
  <si>
    <t>Sant Ram Krishna Mahavidhyalya</t>
  </si>
  <si>
    <t>North 2</t>
  </si>
  <si>
    <t>LISP</t>
  </si>
  <si>
    <t>G.B Infotech</t>
  </si>
  <si>
    <t>Smt. Bhudevi P.G College Agra</t>
  </si>
  <si>
    <t>iON Digital Zone iDZ  Karsua</t>
  </si>
  <si>
    <t>iDZ</t>
  </si>
  <si>
    <t>iON Digital Zone iDZ  Dohna</t>
  </si>
  <si>
    <t>BBDIT A Block Duhai</t>
  </si>
  <si>
    <t>North 1</t>
  </si>
  <si>
    <t>Parvati Digital Zone</t>
  </si>
  <si>
    <t>Cavalier Animation - Education Foundation</t>
  </si>
  <si>
    <t>Oxford Public School</t>
  </si>
  <si>
    <t>i Tech Zone</t>
  </si>
  <si>
    <t>Gyansthali Mahavidyalaya</t>
  </si>
  <si>
    <t xml:space="preserve">Tech Testing Solution </t>
  </si>
  <si>
    <t>A.P. Computer</t>
  </si>
  <si>
    <t>BR Online Services</t>
  </si>
  <si>
    <t>Sun Testing Center</t>
  </si>
  <si>
    <t>Basudev Digital Center</t>
  </si>
  <si>
    <t>Sultan Foundation</t>
  </si>
  <si>
    <t>SS Compuage LLP</t>
  </si>
  <si>
    <t>Thirumala Education Academy</t>
  </si>
  <si>
    <t>Bharat Institute of Technology</t>
  </si>
  <si>
    <t>iON Digital Zone iDZ  Ram Ganga Vihar Phase 2</t>
  </si>
  <si>
    <t>Shri Ganesh College of IT &amp; Management</t>
  </si>
  <si>
    <t>Indian Institute Of Computer Education - CENTER 2</t>
  </si>
  <si>
    <t>Shambhunath Institute Of Engineering And Technology - Mac</t>
  </si>
  <si>
    <t>Dewa Mahila Mahavidyalaya</t>
  </si>
  <si>
    <t>Gyanada Institute Of Computer Training</t>
  </si>
  <si>
    <t>Purnodaya Mahila Mahavidyalaya</t>
  </si>
  <si>
    <t>JeevanDeep Institute of Management &amp; Technology</t>
  </si>
  <si>
    <t>IHNC Mahaveer Bazar</t>
  </si>
  <si>
    <t>Digitrack IT Services</t>
  </si>
  <si>
    <t>Sheetala Institute of Technology</t>
  </si>
  <si>
    <t>DROTCA - Dhannu Ram Online Test &amp; Computer Application Pvt. Ltd</t>
  </si>
  <si>
    <t>iON Digital Zone iDZ Ayar Bazar 2</t>
  </si>
  <si>
    <t>iON Digital Zone iDZ Chaubeypur</t>
  </si>
  <si>
    <t>iON Digital Zone iDZ Harahuwa Chauraha</t>
  </si>
  <si>
    <t>Dr. Ghanshyam Singh College Of Education</t>
  </si>
  <si>
    <t>Institute of Hardware Networking And Communication Center Sarnath</t>
  </si>
  <si>
    <t>No Camera acess</t>
  </si>
  <si>
    <t>NA</t>
  </si>
  <si>
    <t>8.00 AM</t>
  </si>
  <si>
    <t>10.00 AM</t>
  </si>
  <si>
    <t>12.00 PM</t>
  </si>
  <si>
    <t>2.00 PM</t>
  </si>
  <si>
    <t>Yet to be received</t>
  </si>
  <si>
    <t>7.00 AM</t>
  </si>
  <si>
    <t>11.00 AM</t>
  </si>
  <si>
    <t xml:space="preserve">3.00 PM </t>
  </si>
  <si>
    <t>6.00 PM</t>
  </si>
  <si>
    <t>4.00 PM</t>
  </si>
  <si>
    <t>6.30 AM</t>
  </si>
  <si>
    <t>9.00 AM</t>
  </si>
  <si>
    <t xml:space="preserve">SMS to be sent to Client </t>
  </si>
  <si>
    <t>4.30 AM</t>
  </si>
  <si>
    <t>5.30 AM</t>
  </si>
  <si>
    <t>Invigilator Not Moving in exam room or not moving in all lanes/ Invigilator Absent</t>
  </si>
  <si>
    <t>1.5 Minutes</t>
  </si>
  <si>
    <t>7 Minutes</t>
  </si>
  <si>
    <t>Crowd Detection - More than 5 people inside exam hall</t>
  </si>
  <si>
    <t>Shift 2(12.00 PM - 2.00 PM)</t>
  </si>
  <si>
    <t>Shift1 (8.00 AM - 10.00 AM)</t>
  </si>
  <si>
    <t>17th September 2026</t>
  </si>
  <si>
    <t>18th September 2026</t>
  </si>
  <si>
    <t>19th September 2026</t>
  </si>
  <si>
    <t>20th September 2026</t>
  </si>
  <si>
    <t>21st September 2026</t>
  </si>
  <si>
    <t>17th Sept 2026</t>
  </si>
  <si>
    <t>18th Sept 2026</t>
  </si>
  <si>
    <t>19th Sept 2026</t>
  </si>
  <si>
    <t>20th Sept 2026</t>
  </si>
  <si>
    <t>21st Sept 2026</t>
  </si>
  <si>
    <t>Shifts</t>
  </si>
  <si>
    <t>Shift 1</t>
  </si>
  <si>
    <t>Shift 2</t>
  </si>
  <si>
    <t>Shift 3</t>
  </si>
  <si>
    <t>Exam Start time</t>
  </si>
  <si>
    <t>Date</t>
  </si>
  <si>
    <r>
      <t xml:space="preserve">Server Room Threshold- </t>
    </r>
    <r>
      <rPr>
        <b/>
        <sz val="9"/>
        <color rgb="FF000000"/>
        <rFont val="EYInterstate Light"/>
      </rPr>
      <t>More than or equal to the limit which will be shared separately for respective centres</t>
    </r>
    <r>
      <rPr>
        <sz val="9"/>
        <color rgb="FF000000"/>
        <rFont val="EYInterstate Light"/>
      </rPr>
      <t>(Refer Tab "Server room threshold")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</si>
</sst>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9"/>
      <color rgb="FF000000"/>
      <name val="EYInterstate Light"/>
    </font>
    <font>
      <b/>
      <sz val="9"/>
      <color theme="1"/>
      <name val="EYInterstate Light"/>
    </font>
    <font>
      <sz val="9"/>
      <color rgb="FF000000"/>
      <name val="EYInterstate Light"/>
    </font>
    <font>
      <sz val="9"/>
      <color theme="1"/>
      <name val="EYInterstate Light"/>
    </font>
    <font>
      <sz val="11"/>
      <color rgb="FFFF0000"/>
      <name val="Aptos Narrow"/>
      <family val="2"/>
      <scheme val="minor"/>
    </font>
    <font>
      <sz val="10"/>
      <color theme="1"/>
      <name val="EYInterstate"/>
    </font>
    <font>
      <b/>
      <sz val="10"/>
      <color theme="1"/>
      <name val="EYInterstate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FE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1" fontId="4" fillId="0" borderId="1" xfId="0" applyNumberFormat="1" applyFont="1" applyBorder="1" applyAlignment="1">
      <alignment horizontal="center" vertical="center"/>
    </xf>
    <xf numFmtId="21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5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8" fontId="0" fillId="0" borderId="1" xfId="0" applyNumberForma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ADF7-CE73-481C-A492-B85DAB4425CF}">
  <dimension ref="A1:W41"/>
  <sheetViews>
    <sheetView zoomScale="70" workbookViewId="0">
      <selection activeCell="A5" sqref="A5"/>
    </sheetView>
  </sheetViews>
  <sheetFormatPr defaultRowHeight="14.5" x14ac:dyDescent="0.35"/>
  <cols>
    <col min="1" max="1" width="16.81640625" bestFit="1" customWidth="1"/>
    <col min="2" max="2" width="14.90625" bestFit="1" customWidth="1"/>
    <col min="3" max="3" width="15.453125" bestFit="1" customWidth="1"/>
    <col min="4" max="4" width="63.08984375" bestFit="1" customWidth="1"/>
    <col min="5" max="5" width="19.81640625" bestFit="1" customWidth="1"/>
    <col min="6" max="6" width="12" bestFit="1" customWidth="1"/>
    <col min="7" max="7" width="17.90625" bestFit="1" customWidth="1"/>
    <col min="8" max="8" width="170.453125" bestFit="1" customWidth="1"/>
    <col min="9" max="23" width="10" bestFit="1" customWidth="1"/>
  </cols>
  <sheetData>
    <row r="1" spans="1:23" x14ac:dyDescent="0.35">
      <c r="A1" s="5"/>
      <c r="B1" s="5"/>
      <c r="C1" s="5"/>
      <c r="D1" s="5"/>
      <c r="E1" s="5"/>
      <c r="F1" s="5"/>
      <c r="G1" s="5"/>
      <c r="H1" s="5"/>
      <c r="I1" s="30">
        <v>46282</v>
      </c>
      <c r="J1" s="31"/>
      <c r="K1" s="31"/>
      <c r="L1" s="30">
        <v>46283</v>
      </c>
      <c r="M1" s="31"/>
      <c r="N1" s="31"/>
      <c r="O1" s="30">
        <v>46284</v>
      </c>
      <c r="P1" s="31"/>
      <c r="Q1" s="31"/>
      <c r="R1" s="30">
        <v>46285</v>
      </c>
      <c r="S1" s="31"/>
      <c r="T1" s="31"/>
      <c r="U1" s="30">
        <v>46286</v>
      </c>
      <c r="V1" s="31"/>
      <c r="W1" s="31"/>
    </row>
    <row r="2" spans="1:23" x14ac:dyDescent="0.35">
      <c r="A2" s="5"/>
      <c r="B2" s="5"/>
      <c r="C2" s="5"/>
      <c r="D2" s="5"/>
      <c r="E2" s="5"/>
      <c r="F2" s="5"/>
      <c r="G2" s="5"/>
      <c r="H2" s="7" t="s">
        <v>29</v>
      </c>
      <c r="I2" s="8">
        <f>COUNTIF(I4:I41,"Y")</f>
        <v>1</v>
      </c>
      <c r="J2" s="8">
        <f t="shared" ref="J2:W2" si="0">COUNTIF(J4:J41,"Y")</f>
        <v>10</v>
      </c>
      <c r="K2" s="8">
        <f t="shared" si="0"/>
        <v>16</v>
      </c>
      <c r="L2" s="8">
        <f t="shared" si="0"/>
        <v>37</v>
      </c>
      <c r="M2" s="8">
        <f t="shared" si="0"/>
        <v>35</v>
      </c>
      <c r="N2" s="8">
        <f t="shared" si="0"/>
        <v>16</v>
      </c>
      <c r="O2" s="8">
        <f t="shared" si="0"/>
        <v>13</v>
      </c>
      <c r="P2" s="8">
        <f t="shared" si="0"/>
        <v>12</v>
      </c>
      <c r="Q2" s="8">
        <f t="shared" si="0"/>
        <v>18</v>
      </c>
      <c r="R2" s="8">
        <f t="shared" si="0"/>
        <v>14</v>
      </c>
      <c r="S2" s="8">
        <f t="shared" si="0"/>
        <v>13</v>
      </c>
      <c r="T2" s="8">
        <f t="shared" si="0"/>
        <v>12</v>
      </c>
      <c r="U2" s="8">
        <f t="shared" si="0"/>
        <v>13</v>
      </c>
      <c r="V2" s="8">
        <f t="shared" si="0"/>
        <v>12</v>
      </c>
      <c r="W2" s="8">
        <f t="shared" si="0"/>
        <v>12</v>
      </c>
    </row>
    <row r="3" spans="1:23" x14ac:dyDescent="0.35">
      <c r="A3" s="6" t="s">
        <v>30</v>
      </c>
      <c r="B3" s="6" t="s">
        <v>31</v>
      </c>
      <c r="C3" s="6" t="s">
        <v>32</v>
      </c>
      <c r="D3" s="6" t="s">
        <v>91</v>
      </c>
      <c r="E3" s="6" t="s">
        <v>88</v>
      </c>
      <c r="F3" s="6" t="s">
        <v>89</v>
      </c>
      <c r="G3" s="6" t="s">
        <v>90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34</v>
      </c>
      <c r="M3" s="6" t="s">
        <v>35</v>
      </c>
      <c r="N3" s="6" t="s">
        <v>36</v>
      </c>
      <c r="O3" s="6" t="s">
        <v>34</v>
      </c>
      <c r="P3" s="6" t="s">
        <v>35</v>
      </c>
      <c r="Q3" s="6" t="s">
        <v>36</v>
      </c>
      <c r="R3" s="6" t="s">
        <v>34</v>
      </c>
      <c r="S3" s="6" t="s">
        <v>35</v>
      </c>
      <c r="T3" s="6" t="s">
        <v>36</v>
      </c>
      <c r="U3" s="6" t="s">
        <v>34</v>
      </c>
      <c r="V3" s="6" t="s">
        <v>35</v>
      </c>
      <c r="W3" s="6" t="s">
        <v>36</v>
      </c>
    </row>
    <row r="4" spans="1:23" x14ac:dyDescent="0.35">
      <c r="A4" s="9" t="s">
        <v>37</v>
      </c>
      <c r="B4" s="9" t="s">
        <v>38</v>
      </c>
      <c r="C4" s="9">
        <v>11395</v>
      </c>
      <c r="D4" s="9" t="s">
        <v>92</v>
      </c>
      <c r="E4" s="9">
        <v>41</v>
      </c>
      <c r="F4" s="9" t="s">
        <v>93</v>
      </c>
      <c r="G4" s="9" t="s">
        <v>94</v>
      </c>
      <c r="H4" s="9" t="s">
        <v>39</v>
      </c>
      <c r="I4" s="9">
        <v>0</v>
      </c>
      <c r="J4" s="9">
        <v>0</v>
      </c>
      <c r="K4" s="9" t="s">
        <v>40</v>
      </c>
      <c r="L4" s="9" t="s">
        <v>40</v>
      </c>
      <c r="M4" s="9" t="s">
        <v>40</v>
      </c>
      <c r="N4" s="9">
        <v>0</v>
      </c>
      <c r="O4" s="9">
        <v>0</v>
      </c>
      <c r="P4" s="9">
        <v>0</v>
      </c>
      <c r="Q4" s="9" t="s">
        <v>40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 x14ac:dyDescent="0.35">
      <c r="A5" s="9" t="s">
        <v>37</v>
      </c>
      <c r="B5" s="9" t="s">
        <v>38</v>
      </c>
      <c r="C5" s="9">
        <v>15024</v>
      </c>
      <c r="D5" s="9" t="s">
        <v>95</v>
      </c>
      <c r="E5" s="9">
        <v>32</v>
      </c>
      <c r="F5" s="9" t="s">
        <v>93</v>
      </c>
      <c r="G5" s="9" t="s">
        <v>94</v>
      </c>
      <c r="H5" s="9" t="s">
        <v>41</v>
      </c>
      <c r="I5" s="9">
        <v>0</v>
      </c>
      <c r="J5" s="9">
        <v>0</v>
      </c>
      <c r="K5" s="9">
        <v>0</v>
      </c>
      <c r="L5" s="9" t="s">
        <v>40</v>
      </c>
      <c r="M5" s="9" t="s">
        <v>40</v>
      </c>
      <c r="N5" s="9" t="s">
        <v>40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 x14ac:dyDescent="0.35">
      <c r="A6" s="9" t="s">
        <v>37</v>
      </c>
      <c r="B6" s="9" t="s">
        <v>38</v>
      </c>
      <c r="C6" s="9">
        <v>9695</v>
      </c>
      <c r="D6" s="9" t="s">
        <v>96</v>
      </c>
      <c r="E6" s="9">
        <v>34</v>
      </c>
      <c r="F6" s="9" t="s">
        <v>93</v>
      </c>
      <c r="G6" s="9" t="s">
        <v>94</v>
      </c>
      <c r="H6" s="9" t="s">
        <v>42</v>
      </c>
      <c r="I6" s="9">
        <v>0</v>
      </c>
      <c r="J6" s="9" t="s">
        <v>40</v>
      </c>
      <c r="K6" s="9" t="s">
        <v>40</v>
      </c>
      <c r="L6" s="9" t="s">
        <v>40</v>
      </c>
      <c r="M6" s="9" t="s">
        <v>40</v>
      </c>
      <c r="N6" s="9" t="s">
        <v>40</v>
      </c>
      <c r="O6" s="9" t="s">
        <v>40</v>
      </c>
      <c r="P6" s="9" t="s">
        <v>40</v>
      </c>
      <c r="Q6" s="9" t="s">
        <v>40</v>
      </c>
      <c r="R6" s="9" t="s">
        <v>40</v>
      </c>
      <c r="S6" s="9" t="s">
        <v>40</v>
      </c>
      <c r="T6" s="9" t="s">
        <v>40</v>
      </c>
      <c r="U6" s="9" t="s">
        <v>40</v>
      </c>
      <c r="V6" s="9" t="s">
        <v>40</v>
      </c>
      <c r="W6" s="9" t="s">
        <v>40</v>
      </c>
    </row>
    <row r="7" spans="1:23" x14ac:dyDescent="0.35">
      <c r="A7" s="9" t="s">
        <v>37</v>
      </c>
      <c r="B7" s="9" t="s">
        <v>43</v>
      </c>
      <c r="C7" s="9">
        <v>7976</v>
      </c>
      <c r="D7" s="9" t="s">
        <v>97</v>
      </c>
      <c r="E7" s="9">
        <v>54</v>
      </c>
      <c r="F7" s="9" t="s">
        <v>93</v>
      </c>
      <c r="G7" s="9" t="s">
        <v>98</v>
      </c>
      <c r="H7" s="9" t="s">
        <v>44</v>
      </c>
      <c r="I7" s="9">
        <v>0</v>
      </c>
      <c r="J7" s="9" t="s">
        <v>40</v>
      </c>
      <c r="K7" s="9" t="s">
        <v>40</v>
      </c>
      <c r="L7" s="9" t="s">
        <v>40</v>
      </c>
      <c r="M7" s="9" t="s">
        <v>40</v>
      </c>
      <c r="N7" s="9" t="s">
        <v>40</v>
      </c>
      <c r="O7" s="9" t="s">
        <v>40</v>
      </c>
      <c r="P7" s="9" t="s">
        <v>40</v>
      </c>
      <c r="Q7" s="9" t="s">
        <v>40</v>
      </c>
      <c r="R7" s="9" t="s">
        <v>40</v>
      </c>
      <c r="S7" s="9" t="s">
        <v>40</v>
      </c>
      <c r="T7" s="9" t="s">
        <v>40</v>
      </c>
      <c r="U7" s="9" t="s">
        <v>40</v>
      </c>
      <c r="V7" s="9" t="s">
        <v>40</v>
      </c>
      <c r="W7" s="9" t="s">
        <v>40</v>
      </c>
    </row>
    <row r="8" spans="1:23" x14ac:dyDescent="0.35">
      <c r="A8" s="9" t="s">
        <v>37</v>
      </c>
      <c r="B8" s="9" t="s">
        <v>45</v>
      </c>
      <c r="C8" s="9">
        <v>8017</v>
      </c>
      <c r="D8" s="9" t="s">
        <v>99</v>
      </c>
      <c r="E8" s="9">
        <v>79</v>
      </c>
      <c r="F8" s="9" t="s">
        <v>93</v>
      </c>
      <c r="G8" s="9" t="s">
        <v>98</v>
      </c>
      <c r="H8" s="9" t="s">
        <v>46</v>
      </c>
      <c r="I8" s="9">
        <v>0</v>
      </c>
      <c r="J8" s="9" t="s">
        <v>40</v>
      </c>
      <c r="K8" s="9" t="s">
        <v>40</v>
      </c>
      <c r="L8" s="9" t="s">
        <v>40</v>
      </c>
      <c r="M8" s="9" t="s">
        <v>40</v>
      </c>
      <c r="N8" s="9" t="s">
        <v>40</v>
      </c>
      <c r="O8" s="9" t="s">
        <v>40</v>
      </c>
      <c r="P8" s="9" t="s">
        <v>40</v>
      </c>
      <c r="Q8" s="9" t="s">
        <v>40</v>
      </c>
      <c r="R8" s="9" t="s">
        <v>40</v>
      </c>
      <c r="S8" s="9" t="s">
        <v>40</v>
      </c>
      <c r="T8" s="9" t="s">
        <v>40</v>
      </c>
      <c r="U8" s="9" t="s">
        <v>40</v>
      </c>
      <c r="V8" s="9" t="s">
        <v>40</v>
      </c>
      <c r="W8" s="9" t="s">
        <v>40</v>
      </c>
    </row>
    <row r="9" spans="1:23" s="10" customFormat="1" x14ac:dyDescent="0.35">
      <c r="A9" s="9" t="s">
        <v>37</v>
      </c>
      <c r="B9" s="9" t="s">
        <v>45</v>
      </c>
      <c r="C9" s="9">
        <v>926</v>
      </c>
      <c r="D9" s="9" t="s">
        <v>133</v>
      </c>
      <c r="E9" s="9" t="s">
        <v>139</v>
      </c>
      <c r="F9" s="9" t="s">
        <v>134</v>
      </c>
      <c r="G9" s="9" t="s">
        <v>134</v>
      </c>
      <c r="H9" s="9" t="s">
        <v>47</v>
      </c>
      <c r="I9" s="9">
        <v>0</v>
      </c>
      <c r="J9" s="9">
        <v>0</v>
      </c>
      <c r="K9" s="9">
        <v>0</v>
      </c>
      <c r="L9" s="9" t="s">
        <v>40</v>
      </c>
      <c r="M9" s="9" t="s">
        <v>40</v>
      </c>
      <c r="N9" s="9" t="s">
        <v>40</v>
      </c>
      <c r="O9" s="9" t="s">
        <v>40</v>
      </c>
      <c r="P9" s="9" t="s">
        <v>40</v>
      </c>
      <c r="Q9" s="9" t="s">
        <v>40</v>
      </c>
      <c r="R9" s="9" t="s">
        <v>40</v>
      </c>
      <c r="S9" s="9" t="s">
        <v>40</v>
      </c>
      <c r="T9" s="9" t="s">
        <v>40</v>
      </c>
      <c r="U9" s="9">
        <v>0</v>
      </c>
      <c r="V9" s="9">
        <v>0</v>
      </c>
      <c r="W9" s="9">
        <v>0</v>
      </c>
    </row>
    <row r="10" spans="1:23" x14ac:dyDescent="0.35">
      <c r="A10" s="9" t="s">
        <v>37</v>
      </c>
      <c r="B10" s="9" t="s">
        <v>48</v>
      </c>
      <c r="C10" s="9">
        <v>8548</v>
      </c>
      <c r="D10" s="9" t="s">
        <v>100</v>
      </c>
      <c r="E10" s="9">
        <v>51</v>
      </c>
      <c r="F10" s="9" t="s">
        <v>101</v>
      </c>
      <c r="G10" s="9" t="s">
        <v>94</v>
      </c>
      <c r="H10" s="9" t="s">
        <v>49</v>
      </c>
      <c r="I10" s="9">
        <v>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  <c r="Q10" s="9" t="s">
        <v>40</v>
      </c>
      <c r="R10" s="9" t="s">
        <v>40</v>
      </c>
      <c r="S10" s="9" t="s">
        <v>40</v>
      </c>
      <c r="T10" s="9" t="s">
        <v>40</v>
      </c>
      <c r="U10" s="9" t="s">
        <v>40</v>
      </c>
      <c r="V10" s="9" t="s">
        <v>40</v>
      </c>
      <c r="W10" s="9" t="s">
        <v>40</v>
      </c>
    </row>
    <row r="11" spans="1:23" x14ac:dyDescent="0.35">
      <c r="A11" s="9" t="s">
        <v>37</v>
      </c>
      <c r="B11" s="9" t="s">
        <v>50</v>
      </c>
      <c r="C11" s="9">
        <v>24868</v>
      </c>
      <c r="D11" s="9" t="s">
        <v>102</v>
      </c>
      <c r="E11" s="9">
        <v>18</v>
      </c>
      <c r="F11" s="9" t="s">
        <v>93</v>
      </c>
      <c r="G11" s="9" t="s">
        <v>94</v>
      </c>
      <c r="H11" s="9" t="s">
        <v>51</v>
      </c>
      <c r="I11" s="9">
        <v>0</v>
      </c>
      <c r="J11" s="9" t="s">
        <v>40</v>
      </c>
      <c r="K11" s="9" t="s">
        <v>40</v>
      </c>
      <c r="L11" s="9" t="s">
        <v>40</v>
      </c>
      <c r="M11" s="9" t="s">
        <v>40</v>
      </c>
      <c r="N11" s="9" t="s">
        <v>40</v>
      </c>
      <c r="O11" s="9" t="s">
        <v>40</v>
      </c>
      <c r="P11" s="9" t="s">
        <v>40</v>
      </c>
      <c r="Q11" s="9" t="s">
        <v>40</v>
      </c>
      <c r="R11" s="9" t="s">
        <v>40</v>
      </c>
      <c r="S11" s="9" t="s">
        <v>40</v>
      </c>
      <c r="T11" s="9" t="s">
        <v>40</v>
      </c>
      <c r="U11" s="9">
        <v>0</v>
      </c>
      <c r="V11" s="9">
        <v>0</v>
      </c>
      <c r="W11" s="9">
        <v>0</v>
      </c>
    </row>
    <row r="12" spans="1:23" x14ac:dyDescent="0.35">
      <c r="A12" s="9" t="s">
        <v>37</v>
      </c>
      <c r="B12" s="9" t="s">
        <v>50</v>
      </c>
      <c r="C12" s="9">
        <v>33404</v>
      </c>
      <c r="D12" s="9" t="s">
        <v>103</v>
      </c>
      <c r="E12" s="9">
        <v>29</v>
      </c>
      <c r="F12" s="9" t="s">
        <v>93</v>
      </c>
      <c r="G12" s="9" t="s">
        <v>94</v>
      </c>
      <c r="H12" s="9" t="s">
        <v>52</v>
      </c>
      <c r="I12" s="9">
        <v>0</v>
      </c>
      <c r="J12" s="9">
        <v>0</v>
      </c>
      <c r="K12" s="9">
        <v>0</v>
      </c>
      <c r="L12" s="9" t="s">
        <v>40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 t="s">
        <v>40</v>
      </c>
      <c r="V12" s="9" t="s">
        <v>40</v>
      </c>
      <c r="W12" s="9" t="s">
        <v>40</v>
      </c>
    </row>
    <row r="13" spans="1:23" x14ac:dyDescent="0.35">
      <c r="A13" s="9" t="s">
        <v>37</v>
      </c>
      <c r="B13" s="9" t="s">
        <v>50</v>
      </c>
      <c r="C13" s="9">
        <v>40666</v>
      </c>
      <c r="D13" s="9" t="s">
        <v>104</v>
      </c>
      <c r="E13" s="9">
        <v>69</v>
      </c>
      <c r="F13" s="9" t="s">
        <v>93</v>
      </c>
      <c r="G13" s="9" t="s">
        <v>94</v>
      </c>
      <c r="H13" s="9" t="s">
        <v>53</v>
      </c>
      <c r="I13" s="9">
        <v>0</v>
      </c>
      <c r="J13" s="9">
        <v>0</v>
      </c>
      <c r="K13" s="9">
        <v>0</v>
      </c>
      <c r="L13" s="9" t="s">
        <v>40</v>
      </c>
      <c r="M13" s="9" t="s">
        <v>40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3" x14ac:dyDescent="0.35">
      <c r="A14" s="9" t="s">
        <v>37</v>
      </c>
      <c r="B14" s="9" t="s">
        <v>50</v>
      </c>
      <c r="C14" s="9">
        <v>40915</v>
      </c>
      <c r="D14" s="9" t="s">
        <v>105</v>
      </c>
      <c r="E14" s="9">
        <v>24</v>
      </c>
      <c r="F14" s="9" t="s">
        <v>93</v>
      </c>
      <c r="G14" s="9" t="s">
        <v>94</v>
      </c>
      <c r="H14" s="9" t="s">
        <v>54</v>
      </c>
      <c r="I14" s="9">
        <v>0</v>
      </c>
      <c r="J14" s="9">
        <v>0</v>
      </c>
      <c r="K14" s="9" t="s">
        <v>40</v>
      </c>
      <c r="L14" s="9" t="s">
        <v>40</v>
      </c>
      <c r="M14" s="9">
        <v>0</v>
      </c>
      <c r="N14" s="9">
        <v>0</v>
      </c>
      <c r="O14" s="9">
        <v>0</v>
      </c>
      <c r="P14" s="9">
        <v>0</v>
      </c>
      <c r="Q14" s="9" t="s">
        <v>40</v>
      </c>
      <c r="R14" s="9" t="s">
        <v>40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3" x14ac:dyDescent="0.35">
      <c r="A15" s="9" t="s">
        <v>37</v>
      </c>
      <c r="B15" s="9" t="s">
        <v>55</v>
      </c>
      <c r="C15" s="9">
        <v>14118</v>
      </c>
      <c r="D15" s="9" t="s">
        <v>106</v>
      </c>
      <c r="E15" s="9">
        <v>31</v>
      </c>
      <c r="F15" s="9" t="s">
        <v>93</v>
      </c>
      <c r="G15" s="9" t="s">
        <v>94</v>
      </c>
      <c r="H15" s="9" t="s">
        <v>56</v>
      </c>
      <c r="I15" s="9">
        <v>0</v>
      </c>
      <c r="J15" s="9" t="s">
        <v>40</v>
      </c>
      <c r="K15" s="9" t="s">
        <v>40</v>
      </c>
      <c r="L15" s="9" t="s">
        <v>40</v>
      </c>
      <c r="M15" s="9" t="s">
        <v>40</v>
      </c>
      <c r="N15" s="9" t="s">
        <v>40</v>
      </c>
      <c r="O15" s="9" t="s">
        <v>40</v>
      </c>
      <c r="P15" s="9" t="s">
        <v>40</v>
      </c>
      <c r="Q15" s="9" t="s">
        <v>40</v>
      </c>
      <c r="R15" s="9" t="s">
        <v>40</v>
      </c>
      <c r="S15" s="9" t="s">
        <v>40</v>
      </c>
      <c r="T15" s="9" t="s">
        <v>40</v>
      </c>
      <c r="U15" s="9" t="s">
        <v>40</v>
      </c>
      <c r="V15" s="9" t="s">
        <v>40</v>
      </c>
      <c r="W15" s="9" t="s">
        <v>40</v>
      </c>
    </row>
    <row r="16" spans="1:23" x14ac:dyDescent="0.35">
      <c r="A16" s="9" t="s">
        <v>37</v>
      </c>
      <c r="B16" s="9" t="s">
        <v>57</v>
      </c>
      <c r="C16" s="9">
        <v>15806</v>
      </c>
      <c r="D16" s="9" t="s">
        <v>107</v>
      </c>
      <c r="E16" s="9">
        <v>25</v>
      </c>
      <c r="F16" s="9" t="s">
        <v>93</v>
      </c>
      <c r="G16" s="9" t="s">
        <v>94</v>
      </c>
      <c r="H16" s="9" t="s">
        <v>58</v>
      </c>
      <c r="I16" s="9">
        <v>0</v>
      </c>
      <c r="J16" s="9">
        <v>0</v>
      </c>
      <c r="K16" s="9" t="s">
        <v>40</v>
      </c>
      <c r="L16" s="9" t="s">
        <v>40</v>
      </c>
      <c r="M16" s="9" t="s">
        <v>40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x14ac:dyDescent="0.35">
      <c r="A17" s="9" t="s">
        <v>37</v>
      </c>
      <c r="B17" s="9" t="s">
        <v>57</v>
      </c>
      <c r="C17" s="9">
        <v>23441</v>
      </c>
      <c r="D17" s="9" t="s">
        <v>108</v>
      </c>
      <c r="E17" s="9">
        <v>22</v>
      </c>
      <c r="F17" s="9" t="s">
        <v>93</v>
      </c>
      <c r="G17" s="9" t="s">
        <v>94</v>
      </c>
      <c r="H17" s="9" t="s">
        <v>59</v>
      </c>
      <c r="I17" s="9">
        <v>0</v>
      </c>
      <c r="J17" s="9">
        <v>0</v>
      </c>
      <c r="K17" s="9">
        <v>0</v>
      </c>
      <c r="L17" s="9" t="s">
        <v>40</v>
      </c>
      <c r="M17" s="9" t="s">
        <v>40</v>
      </c>
      <c r="N17" s="9" t="s">
        <v>40</v>
      </c>
      <c r="O17" s="9" t="s">
        <v>40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 t="s">
        <v>40</v>
      </c>
      <c r="V17" s="9" t="s">
        <v>40</v>
      </c>
      <c r="W17" s="9" t="s">
        <v>40</v>
      </c>
    </row>
    <row r="18" spans="1:23" x14ac:dyDescent="0.35">
      <c r="A18" s="9" t="s">
        <v>37</v>
      </c>
      <c r="B18" s="9" t="s">
        <v>57</v>
      </c>
      <c r="C18" s="9">
        <v>23443</v>
      </c>
      <c r="D18" s="9" t="s">
        <v>109</v>
      </c>
      <c r="E18" s="9">
        <v>27</v>
      </c>
      <c r="F18" s="9" t="s">
        <v>93</v>
      </c>
      <c r="G18" s="9" t="s">
        <v>94</v>
      </c>
      <c r="H18" s="9" t="s">
        <v>60</v>
      </c>
      <c r="I18" s="9" t="s">
        <v>40</v>
      </c>
      <c r="J18" s="9" t="s">
        <v>40</v>
      </c>
      <c r="K18" s="9" t="s">
        <v>40</v>
      </c>
      <c r="L18" s="9" t="s">
        <v>40</v>
      </c>
      <c r="M18" s="9" t="s">
        <v>40</v>
      </c>
      <c r="N18" s="9" t="s">
        <v>40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 x14ac:dyDescent="0.35">
      <c r="A19" s="9" t="s">
        <v>37</v>
      </c>
      <c r="B19" s="9" t="s">
        <v>57</v>
      </c>
      <c r="C19" s="9">
        <v>23445</v>
      </c>
      <c r="D19" s="9" t="s">
        <v>110</v>
      </c>
      <c r="E19" s="9">
        <v>35</v>
      </c>
      <c r="F19" s="9" t="s">
        <v>93</v>
      </c>
      <c r="G19" s="9" t="s">
        <v>94</v>
      </c>
      <c r="H19" s="9" t="s">
        <v>61</v>
      </c>
      <c r="I19" s="9">
        <v>0</v>
      </c>
      <c r="J19" s="9">
        <v>0</v>
      </c>
      <c r="K19" s="9">
        <v>0</v>
      </c>
      <c r="L19" s="9" t="s">
        <v>40</v>
      </c>
      <c r="M19" s="9" t="s">
        <v>40</v>
      </c>
      <c r="N19" s="9">
        <v>0</v>
      </c>
      <c r="O19" s="9" t="s">
        <v>40</v>
      </c>
      <c r="P19" s="9" t="s">
        <v>40</v>
      </c>
      <c r="Q19" s="9" t="s">
        <v>40</v>
      </c>
      <c r="R19" s="9" t="s">
        <v>40</v>
      </c>
      <c r="S19" s="9" t="s">
        <v>40</v>
      </c>
      <c r="T19" s="9" t="s">
        <v>40</v>
      </c>
      <c r="U19" s="9">
        <v>0</v>
      </c>
      <c r="V19" s="9">
        <v>0</v>
      </c>
      <c r="W19" s="9">
        <v>0</v>
      </c>
    </row>
    <row r="20" spans="1:23" x14ac:dyDescent="0.35">
      <c r="A20" s="9" t="s">
        <v>37</v>
      </c>
      <c r="B20" s="9" t="s">
        <v>57</v>
      </c>
      <c r="C20" s="9">
        <v>33399</v>
      </c>
      <c r="D20" s="9" t="s">
        <v>111</v>
      </c>
      <c r="E20" s="9">
        <v>36</v>
      </c>
      <c r="F20" s="9" t="s">
        <v>93</v>
      </c>
      <c r="G20" s="9" t="s">
        <v>94</v>
      </c>
      <c r="H20" s="9" t="s">
        <v>62</v>
      </c>
      <c r="I20" s="9">
        <v>0</v>
      </c>
      <c r="J20" s="9">
        <v>0</v>
      </c>
      <c r="K20" s="9" t="s">
        <v>40</v>
      </c>
      <c r="L20" s="9" t="s">
        <v>40</v>
      </c>
      <c r="M20" s="9" t="s">
        <v>40</v>
      </c>
      <c r="N20" s="9">
        <v>0</v>
      </c>
      <c r="O20" s="9">
        <v>0</v>
      </c>
      <c r="P20" s="9">
        <v>0</v>
      </c>
      <c r="Q20" s="9" t="s">
        <v>40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5">
      <c r="A21" s="9" t="s">
        <v>37</v>
      </c>
      <c r="B21" s="9" t="s">
        <v>57</v>
      </c>
      <c r="C21" s="9">
        <v>33400</v>
      </c>
      <c r="D21" s="9" t="s">
        <v>112</v>
      </c>
      <c r="E21" s="9">
        <v>38</v>
      </c>
      <c r="F21" s="9" t="s">
        <v>93</v>
      </c>
      <c r="G21" s="9" t="s">
        <v>94</v>
      </c>
      <c r="H21" s="9" t="s">
        <v>63</v>
      </c>
      <c r="I21" s="9">
        <v>0</v>
      </c>
      <c r="J21" s="9">
        <v>0</v>
      </c>
      <c r="K21" s="9" t="s">
        <v>40</v>
      </c>
      <c r="L21" s="9" t="s">
        <v>40</v>
      </c>
      <c r="M21" s="9" t="s">
        <v>40</v>
      </c>
      <c r="N21" s="9" t="s">
        <v>40</v>
      </c>
      <c r="O21" s="9" t="s">
        <v>40</v>
      </c>
      <c r="P21" s="9" t="s">
        <v>40</v>
      </c>
      <c r="Q21" s="9" t="s">
        <v>40</v>
      </c>
      <c r="R21" s="9" t="s">
        <v>40</v>
      </c>
      <c r="S21" s="9" t="s">
        <v>40</v>
      </c>
      <c r="T21" s="9" t="s">
        <v>40</v>
      </c>
      <c r="U21" s="9" t="s">
        <v>40</v>
      </c>
      <c r="V21" s="9" t="s">
        <v>40</v>
      </c>
      <c r="W21" s="9" t="s">
        <v>40</v>
      </c>
    </row>
    <row r="22" spans="1:23" x14ac:dyDescent="0.35">
      <c r="A22" s="9" t="s">
        <v>37</v>
      </c>
      <c r="B22" s="9" t="s">
        <v>57</v>
      </c>
      <c r="C22" s="9">
        <v>40671</v>
      </c>
      <c r="D22" s="9" t="s">
        <v>113</v>
      </c>
      <c r="E22" s="9">
        <v>33</v>
      </c>
      <c r="F22" s="9" t="s">
        <v>93</v>
      </c>
      <c r="G22" s="9" t="s">
        <v>94</v>
      </c>
      <c r="H22" s="9" t="s">
        <v>64</v>
      </c>
      <c r="I22" s="9">
        <v>0</v>
      </c>
      <c r="J22" s="9">
        <v>0</v>
      </c>
      <c r="K22" s="9">
        <v>0</v>
      </c>
      <c r="L22" s="9" t="s">
        <v>40</v>
      </c>
      <c r="M22" s="9" t="s">
        <v>40</v>
      </c>
      <c r="N22" s="9" t="s">
        <v>40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pans="1:23" x14ac:dyDescent="0.35">
      <c r="A23" s="9" t="s">
        <v>37</v>
      </c>
      <c r="B23" s="9" t="s">
        <v>57</v>
      </c>
      <c r="C23" s="9">
        <v>4404</v>
      </c>
      <c r="D23" s="9" t="s">
        <v>114</v>
      </c>
      <c r="E23" s="9">
        <v>25</v>
      </c>
      <c r="F23" s="9" t="s">
        <v>93</v>
      </c>
      <c r="G23" s="9" t="s">
        <v>94</v>
      </c>
      <c r="H23" s="9" t="s">
        <v>65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 t="s">
        <v>40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spans="1:23" x14ac:dyDescent="0.35">
      <c r="A24" s="9" t="s">
        <v>37</v>
      </c>
      <c r="B24" s="9" t="s">
        <v>66</v>
      </c>
      <c r="C24" s="9">
        <v>26487</v>
      </c>
      <c r="D24" s="9" t="s">
        <v>115</v>
      </c>
      <c r="E24" s="9">
        <v>49</v>
      </c>
      <c r="F24" s="9" t="s">
        <v>101</v>
      </c>
      <c r="G24" s="9" t="s">
        <v>94</v>
      </c>
      <c r="H24" s="9" t="s">
        <v>67</v>
      </c>
      <c r="I24" s="9">
        <v>0</v>
      </c>
      <c r="J24" s="9" t="s">
        <v>40</v>
      </c>
      <c r="K24" s="9" t="s">
        <v>40</v>
      </c>
      <c r="L24" s="9" t="s">
        <v>40</v>
      </c>
      <c r="M24" s="9" t="s">
        <v>40</v>
      </c>
      <c r="N24" s="9" t="s">
        <v>40</v>
      </c>
      <c r="O24" s="9" t="s">
        <v>40</v>
      </c>
      <c r="P24" s="9" t="s">
        <v>40</v>
      </c>
      <c r="Q24" s="9" t="s">
        <v>40</v>
      </c>
      <c r="R24" s="9" t="s">
        <v>40</v>
      </c>
      <c r="S24" s="9" t="s">
        <v>40</v>
      </c>
      <c r="T24" s="9" t="s">
        <v>40</v>
      </c>
      <c r="U24" s="9" t="s">
        <v>40</v>
      </c>
      <c r="V24" s="9" t="s">
        <v>40</v>
      </c>
      <c r="W24" s="9" t="s">
        <v>40</v>
      </c>
    </row>
    <row r="25" spans="1:23" x14ac:dyDescent="0.35">
      <c r="A25" s="9" t="s">
        <v>37</v>
      </c>
      <c r="B25" s="9" t="s">
        <v>68</v>
      </c>
      <c r="C25" s="9">
        <v>7949</v>
      </c>
      <c r="D25" s="9" t="s">
        <v>116</v>
      </c>
      <c r="E25" s="9">
        <v>45</v>
      </c>
      <c r="F25" s="9" t="s">
        <v>93</v>
      </c>
      <c r="G25" s="9" t="s">
        <v>98</v>
      </c>
      <c r="H25" s="9" t="s">
        <v>69</v>
      </c>
      <c r="I25" s="9">
        <v>0</v>
      </c>
      <c r="J25" s="9" t="s">
        <v>40</v>
      </c>
      <c r="K25" s="9" t="s">
        <v>40</v>
      </c>
      <c r="L25" s="9" t="s">
        <v>40</v>
      </c>
      <c r="M25" s="9" t="s">
        <v>40</v>
      </c>
      <c r="N25" s="9" t="s">
        <v>40</v>
      </c>
      <c r="O25" s="9" t="s">
        <v>40</v>
      </c>
      <c r="P25" s="9" t="s">
        <v>40</v>
      </c>
      <c r="Q25" s="9" t="s">
        <v>40</v>
      </c>
      <c r="R25" s="9" t="s">
        <v>40</v>
      </c>
      <c r="S25" s="9" t="s">
        <v>40</v>
      </c>
      <c r="T25" s="9" t="s">
        <v>40</v>
      </c>
      <c r="U25" s="9" t="s">
        <v>40</v>
      </c>
      <c r="V25" s="9" t="s">
        <v>40</v>
      </c>
      <c r="W25" s="9" t="s">
        <v>40</v>
      </c>
    </row>
    <row r="26" spans="1:23" x14ac:dyDescent="0.35">
      <c r="A26" s="9" t="s">
        <v>37</v>
      </c>
      <c r="B26" s="9" t="s">
        <v>70</v>
      </c>
      <c r="C26" s="9">
        <v>13305</v>
      </c>
      <c r="D26" s="9" t="s">
        <v>117</v>
      </c>
      <c r="E26" s="9">
        <v>21</v>
      </c>
      <c r="F26" s="9" t="s">
        <v>93</v>
      </c>
      <c r="G26" s="9" t="s">
        <v>94</v>
      </c>
      <c r="H26" s="9" t="s">
        <v>71</v>
      </c>
      <c r="I26" s="9">
        <v>0</v>
      </c>
      <c r="J26" s="9">
        <v>0</v>
      </c>
      <c r="K26" s="9">
        <v>0</v>
      </c>
      <c r="L26" s="9" t="s">
        <v>40</v>
      </c>
      <c r="M26" s="9" t="s">
        <v>40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</row>
    <row r="27" spans="1:23" x14ac:dyDescent="0.35">
      <c r="A27" s="9" t="s">
        <v>37</v>
      </c>
      <c r="B27" s="9" t="s">
        <v>70</v>
      </c>
      <c r="C27" s="9">
        <v>15798</v>
      </c>
      <c r="D27" s="9" t="s">
        <v>118</v>
      </c>
      <c r="E27" s="9">
        <v>31</v>
      </c>
      <c r="F27" s="9" t="s">
        <v>93</v>
      </c>
      <c r="G27" s="9" t="s">
        <v>94</v>
      </c>
      <c r="H27" s="9" t="s">
        <v>72</v>
      </c>
      <c r="I27" s="9">
        <v>0</v>
      </c>
      <c r="J27" s="9">
        <v>0</v>
      </c>
      <c r="K27" s="9">
        <v>0</v>
      </c>
      <c r="L27" s="9" t="s">
        <v>40</v>
      </c>
      <c r="M27" s="9" t="s">
        <v>40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 t="s">
        <v>40</v>
      </c>
      <c r="V27" s="9">
        <v>0</v>
      </c>
      <c r="W27" s="9">
        <v>0</v>
      </c>
    </row>
    <row r="28" spans="1:23" x14ac:dyDescent="0.35">
      <c r="A28" s="9" t="s">
        <v>37</v>
      </c>
      <c r="B28" s="9" t="s">
        <v>70</v>
      </c>
      <c r="C28" s="9">
        <v>9499</v>
      </c>
      <c r="D28" s="9" t="s">
        <v>119</v>
      </c>
      <c r="E28" s="9">
        <v>29</v>
      </c>
      <c r="F28" s="9" t="s">
        <v>93</v>
      </c>
      <c r="G28" s="9" t="s">
        <v>94</v>
      </c>
      <c r="H28" s="9" t="s">
        <v>73</v>
      </c>
      <c r="I28" s="9">
        <v>0</v>
      </c>
      <c r="J28" s="9">
        <v>0</v>
      </c>
      <c r="K28" s="9">
        <v>0</v>
      </c>
      <c r="L28" s="9" t="s">
        <v>40</v>
      </c>
      <c r="M28" s="9" t="s">
        <v>40</v>
      </c>
      <c r="N28" s="9">
        <v>0</v>
      </c>
      <c r="O28" s="9">
        <v>0</v>
      </c>
      <c r="P28" s="9">
        <v>0</v>
      </c>
      <c r="Q28" s="9" t="s">
        <v>40</v>
      </c>
      <c r="R28" s="9">
        <v>0</v>
      </c>
      <c r="S28" s="9">
        <v>0</v>
      </c>
      <c r="T28" s="9">
        <v>0</v>
      </c>
      <c r="U28" s="9" t="s">
        <v>40</v>
      </c>
      <c r="V28" s="9" t="s">
        <v>40</v>
      </c>
      <c r="W28" s="9" t="s">
        <v>40</v>
      </c>
    </row>
    <row r="29" spans="1:23" x14ac:dyDescent="0.35">
      <c r="A29" s="9" t="s">
        <v>37</v>
      </c>
      <c r="B29" s="9" t="s">
        <v>74</v>
      </c>
      <c r="C29" s="9">
        <v>13302</v>
      </c>
      <c r="D29" s="9" t="s">
        <v>120</v>
      </c>
      <c r="E29" s="9">
        <v>53</v>
      </c>
      <c r="F29" s="9" t="s">
        <v>93</v>
      </c>
      <c r="G29" s="9" t="s">
        <v>94</v>
      </c>
      <c r="H29" s="9" t="s">
        <v>75</v>
      </c>
      <c r="I29" s="9">
        <v>0</v>
      </c>
      <c r="J29" s="9">
        <v>0</v>
      </c>
      <c r="K29" s="9">
        <v>0</v>
      </c>
      <c r="L29" s="9" t="s">
        <v>40</v>
      </c>
      <c r="M29" s="9" t="s">
        <v>40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</row>
    <row r="30" spans="1:23" x14ac:dyDescent="0.35">
      <c r="A30" s="9" t="s">
        <v>37</v>
      </c>
      <c r="B30" s="9" t="s">
        <v>74</v>
      </c>
      <c r="C30" s="9">
        <v>14112</v>
      </c>
      <c r="D30" s="9" t="s">
        <v>121</v>
      </c>
      <c r="E30" s="9">
        <v>30</v>
      </c>
      <c r="F30" s="9" t="s">
        <v>93</v>
      </c>
      <c r="G30" s="9" t="s">
        <v>94</v>
      </c>
      <c r="H30" s="9" t="s">
        <v>76</v>
      </c>
      <c r="I30" s="9">
        <v>0</v>
      </c>
      <c r="J30" s="9">
        <v>0</v>
      </c>
      <c r="K30" s="9">
        <v>0</v>
      </c>
      <c r="L30" s="9" t="s">
        <v>40</v>
      </c>
      <c r="M30" s="9" t="s">
        <v>40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</row>
    <row r="31" spans="1:23" x14ac:dyDescent="0.35">
      <c r="A31" s="9" t="s">
        <v>37</v>
      </c>
      <c r="B31" s="9" t="s">
        <v>74</v>
      </c>
      <c r="C31" s="9">
        <v>15792</v>
      </c>
      <c r="D31" s="9" t="s">
        <v>122</v>
      </c>
      <c r="E31" s="9">
        <v>51</v>
      </c>
      <c r="F31" s="9" t="s">
        <v>93</v>
      </c>
      <c r="G31" s="9" t="s">
        <v>94</v>
      </c>
      <c r="H31" s="9" t="s">
        <v>77</v>
      </c>
      <c r="I31" s="9">
        <v>0</v>
      </c>
      <c r="J31" s="9">
        <v>0</v>
      </c>
      <c r="K31" s="9">
        <v>0</v>
      </c>
      <c r="L31" s="9" t="s">
        <v>40</v>
      </c>
      <c r="M31" s="9" t="s">
        <v>40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</row>
    <row r="32" spans="1:23" x14ac:dyDescent="0.35">
      <c r="A32" s="9" t="s">
        <v>37</v>
      </c>
      <c r="B32" s="9" t="s">
        <v>74</v>
      </c>
      <c r="C32" s="9">
        <v>2220</v>
      </c>
      <c r="D32" s="9" t="s">
        <v>123</v>
      </c>
      <c r="E32" s="9">
        <v>24</v>
      </c>
      <c r="F32" s="9" t="s">
        <v>93</v>
      </c>
      <c r="G32" s="9" t="s">
        <v>94</v>
      </c>
      <c r="H32" s="9" t="s">
        <v>78</v>
      </c>
      <c r="I32" s="9">
        <v>0</v>
      </c>
      <c r="J32" s="9">
        <v>0</v>
      </c>
      <c r="K32" s="9">
        <v>0</v>
      </c>
      <c r="L32" s="9" t="s">
        <v>40</v>
      </c>
      <c r="M32" s="9" t="s">
        <v>40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</row>
    <row r="33" spans="1:23" x14ac:dyDescent="0.35">
      <c r="A33" s="9" t="s">
        <v>37</v>
      </c>
      <c r="B33" s="9" t="s">
        <v>74</v>
      </c>
      <c r="C33" s="9">
        <v>23401</v>
      </c>
      <c r="D33" s="9" t="s">
        <v>124</v>
      </c>
      <c r="E33" s="9">
        <v>25</v>
      </c>
      <c r="F33" s="9" t="s">
        <v>93</v>
      </c>
      <c r="G33" s="9" t="s">
        <v>94</v>
      </c>
      <c r="H33" s="9" t="s">
        <v>79</v>
      </c>
      <c r="I33" s="9">
        <v>0</v>
      </c>
      <c r="J33" s="9">
        <v>0</v>
      </c>
      <c r="K33" s="9">
        <v>0</v>
      </c>
      <c r="L33" s="9" t="s">
        <v>40</v>
      </c>
      <c r="M33" s="9" t="s">
        <v>40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</row>
    <row r="34" spans="1:23" x14ac:dyDescent="0.35">
      <c r="A34" s="9" t="s">
        <v>37</v>
      </c>
      <c r="B34" s="9" t="s">
        <v>74</v>
      </c>
      <c r="C34" s="9">
        <v>23883</v>
      </c>
      <c r="D34" s="9" t="s">
        <v>125</v>
      </c>
      <c r="E34" s="9">
        <v>32</v>
      </c>
      <c r="F34" s="9" t="s">
        <v>93</v>
      </c>
      <c r="G34" s="9" t="s">
        <v>94</v>
      </c>
      <c r="H34" s="9" t="s">
        <v>80</v>
      </c>
      <c r="I34" s="9">
        <v>0</v>
      </c>
      <c r="J34" s="9">
        <v>0</v>
      </c>
      <c r="K34" s="9">
        <v>0</v>
      </c>
      <c r="L34" s="9" t="s">
        <v>40</v>
      </c>
      <c r="M34" s="9" t="s">
        <v>40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</row>
    <row r="35" spans="1:23" x14ac:dyDescent="0.35">
      <c r="A35" s="9" t="s">
        <v>37</v>
      </c>
      <c r="B35" s="9" t="s">
        <v>74</v>
      </c>
      <c r="C35" s="9">
        <v>34017</v>
      </c>
      <c r="D35" s="9" t="s">
        <v>126</v>
      </c>
      <c r="E35" s="9">
        <v>29</v>
      </c>
      <c r="F35" s="9" t="s">
        <v>93</v>
      </c>
      <c r="G35" s="9" t="s">
        <v>94</v>
      </c>
      <c r="H35" s="9" t="s">
        <v>81</v>
      </c>
      <c r="I35" s="9">
        <v>0</v>
      </c>
      <c r="J35" s="9">
        <v>0</v>
      </c>
      <c r="K35" s="9">
        <v>0</v>
      </c>
      <c r="L35" s="9" t="s">
        <v>40</v>
      </c>
      <c r="M35" s="9" t="s">
        <v>40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</row>
    <row r="36" spans="1:23" x14ac:dyDescent="0.35">
      <c r="A36" s="9" t="s">
        <v>37</v>
      </c>
      <c r="B36" s="9" t="s">
        <v>74</v>
      </c>
      <c r="C36" s="9">
        <v>41079</v>
      </c>
      <c r="D36" s="9" t="s">
        <v>127</v>
      </c>
      <c r="E36" s="9">
        <v>31</v>
      </c>
      <c r="F36" s="9" t="s">
        <v>93</v>
      </c>
      <c r="G36" s="9" t="s">
        <v>94</v>
      </c>
      <c r="H36" s="9" t="s">
        <v>82</v>
      </c>
      <c r="I36" s="9">
        <v>0</v>
      </c>
      <c r="J36" s="9">
        <v>0</v>
      </c>
      <c r="K36" s="9">
        <v>0</v>
      </c>
      <c r="L36" s="9" t="s">
        <v>40</v>
      </c>
      <c r="M36" s="9" t="s">
        <v>40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</row>
    <row r="37" spans="1:23" x14ac:dyDescent="0.35">
      <c r="A37" s="9" t="s">
        <v>37</v>
      </c>
      <c r="B37" s="9" t="s">
        <v>74</v>
      </c>
      <c r="C37" s="9">
        <v>41668</v>
      </c>
      <c r="D37" s="9" t="s">
        <v>128</v>
      </c>
      <c r="E37" s="9">
        <v>33</v>
      </c>
      <c r="F37" s="9" t="s">
        <v>93</v>
      </c>
      <c r="G37" s="9" t="s">
        <v>98</v>
      </c>
      <c r="H37" s="9" t="s">
        <v>83</v>
      </c>
      <c r="I37" s="9">
        <v>0</v>
      </c>
      <c r="J37" s="9">
        <v>0</v>
      </c>
      <c r="K37" s="9" t="s">
        <v>40</v>
      </c>
      <c r="L37" s="9" t="s">
        <v>40</v>
      </c>
      <c r="M37" s="9" t="s">
        <v>40</v>
      </c>
      <c r="N37" s="9">
        <v>0</v>
      </c>
      <c r="O37" s="9">
        <v>0</v>
      </c>
      <c r="P37" s="9">
        <v>0</v>
      </c>
      <c r="Q37" s="9" t="s">
        <v>40</v>
      </c>
      <c r="R37" s="9" t="s">
        <v>40</v>
      </c>
      <c r="S37" s="9" t="s">
        <v>40</v>
      </c>
      <c r="T37" s="9">
        <v>0</v>
      </c>
      <c r="U37" s="9">
        <v>0</v>
      </c>
      <c r="V37" s="9">
        <v>0</v>
      </c>
      <c r="W37" s="9">
        <v>0</v>
      </c>
    </row>
    <row r="38" spans="1:23" x14ac:dyDescent="0.35">
      <c r="A38" s="9" t="s">
        <v>37</v>
      </c>
      <c r="B38" s="9" t="s">
        <v>74</v>
      </c>
      <c r="C38" s="9">
        <v>42226</v>
      </c>
      <c r="D38" s="9" t="s">
        <v>129</v>
      </c>
      <c r="E38" s="9">
        <v>51</v>
      </c>
      <c r="F38" s="9" t="s">
        <v>93</v>
      </c>
      <c r="G38" s="9" t="s">
        <v>98</v>
      </c>
      <c r="H38" s="9" t="s">
        <v>84</v>
      </c>
      <c r="I38" s="9">
        <v>0</v>
      </c>
      <c r="J38" s="9">
        <v>0</v>
      </c>
      <c r="K38" s="9">
        <v>0</v>
      </c>
      <c r="L38" s="9" t="s">
        <v>40</v>
      </c>
      <c r="M38" s="9" t="s">
        <v>40</v>
      </c>
      <c r="N38" s="9" t="s">
        <v>40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</row>
    <row r="39" spans="1:23" x14ac:dyDescent="0.35">
      <c r="A39" s="9" t="s">
        <v>37</v>
      </c>
      <c r="B39" s="9" t="s">
        <v>74</v>
      </c>
      <c r="C39" s="9">
        <v>7945</v>
      </c>
      <c r="D39" s="9" t="s">
        <v>130</v>
      </c>
      <c r="E39" s="9">
        <v>32</v>
      </c>
      <c r="F39" s="9" t="s">
        <v>93</v>
      </c>
      <c r="G39" s="9" t="s">
        <v>98</v>
      </c>
      <c r="H39" s="9" t="s">
        <v>85</v>
      </c>
      <c r="I39" s="9">
        <v>0</v>
      </c>
      <c r="J39" s="9" t="s">
        <v>40</v>
      </c>
      <c r="K39" s="9" t="s">
        <v>40</v>
      </c>
      <c r="L39" s="9" t="s">
        <v>40</v>
      </c>
      <c r="M39" s="9" t="s">
        <v>40</v>
      </c>
      <c r="N39" s="9" t="s">
        <v>40</v>
      </c>
      <c r="O39" s="9" t="s">
        <v>40</v>
      </c>
      <c r="P39" s="9" t="s">
        <v>40</v>
      </c>
      <c r="Q39" s="9" t="s">
        <v>40</v>
      </c>
      <c r="R39" s="9" t="s">
        <v>40</v>
      </c>
      <c r="S39" s="9" t="s">
        <v>40</v>
      </c>
      <c r="T39" s="9" t="s">
        <v>40</v>
      </c>
      <c r="U39" s="9" t="s">
        <v>40</v>
      </c>
      <c r="V39" s="9" t="s">
        <v>40</v>
      </c>
      <c r="W39" s="9" t="s">
        <v>40</v>
      </c>
    </row>
    <row r="40" spans="1:23" x14ac:dyDescent="0.35">
      <c r="A40" s="9" t="s">
        <v>37</v>
      </c>
      <c r="B40" s="9" t="s">
        <v>74</v>
      </c>
      <c r="C40" s="9">
        <v>9519</v>
      </c>
      <c r="D40" s="9" t="s">
        <v>131</v>
      </c>
      <c r="E40" s="9">
        <v>73</v>
      </c>
      <c r="F40" s="9" t="s">
        <v>93</v>
      </c>
      <c r="G40" s="9" t="s">
        <v>94</v>
      </c>
      <c r="H40" s="9" t="s">
        <v>86</v>
      </c>
      <c r="I40" s="9">
        <v>0</v>
      </c>
      <c r="J40" s="9">
        <v>0</v>
      </c>
      <c r="K40" s="9">
        <v>0</v>
      </c>
      <c r="L40" s="9" t="s">
        <v>40</v>
      </c>
      <c r="M40" s="9" t="s">
        <v>40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</row>
    <row r="41" spans="1:23" x14ac:dyDescent="0.35">
      <c r="A41" s="9" t="s">
        <v>37</v>
      </c>
      <c r="B41" s="9" t="s">
        <v>74</v>
      </c>
      <c r="C41" s="9">
        <v>9633</v>
      </c>
      <c r="D41" s="9" t="s">
        <v>132</v>
      </c>
      <c r="E41" s="9">
        <v>27</v>
      </c>
      <c r="F41" s="9" t="s">
        <v>93</v>
      </c>
      <c r="G41" s="9" t="s">
        <v>94</v>
      </c>
      <c r="H41" s="9" t="s">
        <v>87</v>
      </c>
      <c r="I41" s="9">
        <v>0</v>
      </c>
      <c r="J41" s="9">
        <v>0</v>
      </c>
      <c r="K41" s="9">
        <v>0</v>
      </c>
      <c r="L41" s="9" t="s">
        <v>40</v>
      </c>
      <c r="M41" s="9" t="s">
        <v>40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</row>
  </sheetData>
  <autoFilter ref="A3:W41" xr:uid="{1EDDADF7-CE73-481C-A492-B85DAB4425CF}"/>
  <mergeCells count="5">
    <mergeCell ref="I1:K1"/>
    <mergeCell ref="L1:N1"/>
    <mergeCell ref="O1:Q1"/>
    <mergeCell ref="R1:T1"/>
    <mergeCell ref="U1:W1"/>
  </mergeCells>
  <conditionalFormatting sqref="C3:G3">
    <cfRule type="duplicateValues" dxfId="7" priority="1" stopIfTrue="1"/>
    <cfRule type="duplicateValues" dxfId="6" priority="2" stopIfTrue="1"/>
  </conditionalFormatting>
  <conditionalFormatting sqref="C3:H3">
    <cfRule type="duplicateValues" dxfId="5" priority="3" stopIfTrue="1"/>
  </conditionalFormatting>
  <conditionalFormatting sqref="H3">
    <cfRule type="duplicateValues" dxfId="4" priority="4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C361-AC91-4285-B56B-148BA772A814}">
  <dimension ref="A1:K16"/>
  <sheetViews>
    <sheetView tabSelected="1" zoomScale="73" zoomScaleNormal="100" workbookViewId="0">
      <selection activeCell="B10" sqref="B10:B11"/>
    </sheetView>
  </sheetViews>
  <sheetFormatPr defaultRowHeight="14.5" x14ac:dyDescent="0.35"/>
  <cols>
    <col min="1" max="1" width="4.453125" bestFit="1" customWidth="1"/>
    <col min="2" max="2" width="113.26953125" bestFit="1" customWidth="1"/>
    <col min="3" max="3" width="9.7265625" bestFit="1" customWidth="1"/>
    <col min="4" max="4" width="25.7265625" bestFit="1" customWidth="1"/>
    <col min="5" max="10" width="13" customWidth="1"/>
    <col min="11" max="11" width="20.36328125" style="4" bestFit="1" customWidth="1"/>
  </cols>
  <sheetData>
    <row r="1" spans="1:11" x14ac:dyDescent="0.35">
      <c r="A1" s="23" t="s">
        <v>0</v>
      </c>
      <c r="B1" s="25" t="s">
        <v>1</v>
      </c>
      <c r="C1" s="23" t="s">
        <v>2</v>
      </c>
      <c r="D1" s="23" t="s">
        <v>3</v>
      </c>
      <c r="E1" s="27" t="s">
        <v>155</v>
      </c>
      <c r="F1" s="27"/>
      <c r="G1" s="27" t="s">
        <v>154</v>
      </c>
      <c r="H1" s="27"/>
      <c r="I1" s="27" t="s">
        <v>27</v>
      </c>
      <c r="J1" s="27"/>
      <c r="K1" s="21" t="s">
        <v>147</v>
      </c>
    </row>
    <row r="2" spans="1:11" x14ac:dyDescent="0.35">
      <c r="A2" s="24"/>
      <c r="B2" s="26"/>
      <c r="C2" s="24"/>
      <c r="D2" s="24"/>
      <c r="E2" s="13" t="s">
        <v>4</v>
      </c>
      <c r="F2" s="13" t="s">
        <v>5</v>
      </c>
      <c r="G2" s="13" t="s">
        <v>4</v>
      </c>
      <c r="H2" s="13" t="s">
        <v>5</v>
      </c>
      <c r="I2" s="13" t="s">
        <v>4</v>
      </c>
      <c r="J2" s="13" t="s">
        <v>5</v>
      </c>
      <c r="K2" s="22"/>
    </row>
    <row r="3" spans="1:11" x14ac:dyDescent="0.35">
      <c r="A3" s="14">
        <v>1</v>
      </c>
      <c r="B3" s="3" t="s">
        <v>6</v>
      </c>
      <c r="C3" s="14"/>
      <c r="D3" s="14" t="s">
        <v>7</v>
      </c>
      <c r="E3" s="17" t="s">
        <v>148</v>
      </c>
      <c r="F3" s="17" t="s">
        <v>149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14</v>
      </c>
    </row>
    <row r="4" spans="1:11" x14ac:dyDescent="0.35">
      <c r="A4" s="14">
        <v>2</v>
      </c>
      <c r="B4" s="3" t="s">
        <v>9</v>
      </c>
      <c r="C4" s="14"/>
      <c r="D4" s="14" t="s">
        <v>10</v>
      </c>
      <c r="E4" s="17" t="s">
        <v>149</v>
      </c>
      <c r="F4" s="17" t="s">
        <v>145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14</v>
      </c>
    </row>
    <row r="5" spans="1:11" s="12" customFormat="1" x14ac:dyDescent="0.35">
      <c r="A5" s="15">
        <v>3</v>
      </c>
      <c r="B5" s="3" t="s">
        <v>11</v>
      </c>
      <c r="C5" s="15" t="s">
        <v>12</v>
      </c>
      <c r="D5" s="15" t="s">
        <v>13</v>
      </c>
      <c r="E5" s="18" t="s">
        <v>140</v>
      </c>
      <c r="F5" s="18" t="s">
        <v>146</v>
      </c>
      <c r="G5" s="18" t="s">
        <v>141</v>
      </c>
      <c r="H5" s="18" t="s">
        <v>138</v>
      </c>
      <c r="I5" s="18" t="s">
        <v>142</v>
      </c>
      <c r="J5" s="18" t="s">
        <v>143</v>
      </c>
      <c r="K5" s="11" t="s">
        <v>14</v>
      </c>
    </row>
    <row r="6" spans="1:11" s="12" customFormat="1" x14ac:dyDescent="0.35">
      <c r="A6" s="15">
        <v>4</v>
      </c>
      <c r="B6" s="3" t="s">
        <v>153</v>
      </c>
      <c r="C6" s="15" t="s">
        <v>28</v>
      </c>
      <c r="D6" s="15" t="s">
        <v>10</v>
      </c>
      <c r="E6" s="17" t="s">
        <v>135</v>
      </c>
      <c r="F6" s="17" t="s">
        <v>136</v>
      </c>
      <c r="G6" s="17" t="s">
        <v>137</v>
      </c>
      <c r="H6" s="17" t="s">
        <v>138</v>
      </c>
      <c r="I6" s="17" t="s">
        <v>144</v>
      </c>
      <c r="J6" s="17" t="s">
        <v>143</v>
      </c>
      <c r="K6" s="1" t="s">
        <v>14</v>
      </c>
    </row>
    <row r="7" spans="1:11" x14ac:dyDescent="0.35">
      <c r="A7" s="14">
        <v>5</v>
      </c>
      <c r="B7" s="3" t="s">
        <v>150</v>
      </c>
      <c r="C7" s="14" t="s">
        <v>152</v>
      </c>
      <c r="D7" s="14" t="s">
        <v>10</v>
      </c>
      <c r="E7" s="17" t="s">
        <v>135</v>
      </c>
      <c r="F7" s="17" t="s">
        <v>136</v>
      </c>
      <c r="G7" s="17" t="s">
        <v>137</v>
      </c>
      <c r="H7" s="17" t="s">
        <v>138</v>
      </c>
      <c r="I7" s="17" t="s">
        <v>144</v>
      </c>
      <c r="J7" s="17" t="s">
        <v>143</v>
      </c>
      <c r="K7" s="1" t="s">
        <v>14</v>
      </c>
    </row>
    <row r="8" spans="1:11" x14ac:dyDescent="0.35">
      <c r="A8" s="14">
        <v>6</v>
      </c>
      <c r="B8" s="3" t="s">
        <v>15</v>
      </c>
      <c r="C8" s="14" t="s">
        <v>12</v>
      </c>
      <c r="D8" s="14" t="s">
        <v>10</v>
      </c>
      <c r="E8" s="17" t="s">
        <v>135</v>
      </c>
      <c r="F8" s="17" t="s">
        <v>136</v>
      </c>
      <c r="G8" s="17" t="s">
        <v>137</v>
      </c>
      <c r="H8" s="17" t="s">
        <v>138</v>
      </c>
      <c r="I8" s="17" t="s">
        <v>144</v>
      </c>
      <c r="J8" s="17" t="s">
        <v>143</v>
      </c>
      <c r="K8" s="1" t="s">
        <v>14</v>
      </c>
    </row>
    <row r="9" spans="1:11" x14ac:dyDescent="0.35">
      <c r="A9" s="14">
        <v>7</v>
      </c>
      <c r="B9" s="3" t="s">
        <v>172</v>
      </c>
      <c r="C9" s="14" t="s">
        <v>12</v>
      </c>
      <c r="D9" s="14" t="s">
        <v>16</v>
      </c>
      <c r="E9" s="17" t="s">
        <v>135</v>
      </c>
      <c r="F9" s="17" t="s">
        <v>136</v>
      </c>
      <c r="G9" s="17" t="s">
        <v>137</v>
      </c>
      <c r="H9" s="17" t="s">
        <v>138</v>
      </c>
      <c r="I9" s="17" t="s">
        <v>144</v>
      </c>
      <c r="J9" s="17" t="s">
        <v>143</v>
      </c>
      <c r="K9" s="1" t="s">
        <v>14</v>
      </c>
    </row>
    <row r="10" spans="1:11" x14ac:dyDescent="0.35">
      <c r="A10" s="28">
        <v>8</v>
      </c>
      <c r="B10" s="29" t="s">
        <v>17</v>
      </c>
      <c r="C10" s="15" t="s">
        <v>151</v>
      </c>
      <c r="D10" s="14" t="s">
        <v>18</v>
      </c>
      <c r="E10" s="17" t="s">
        <v>135</v>
      </c>
      <c r="F10" s="17" t="s">
        <v>136</v>
      </c>
      <c r="G10" s="17" t="s">
        <v>137</v>
      </c>
      <c r="H10" s="17" t="s">
        <v>138</v>
      </c>
      <c r="I10" s="17" t="s">
        <v>144</v>
      </c>
      <c r="J10" s="17" t="s">
        <v>143</v>
      </c>
      <c r="K10" s="1" t="s">
        <v>14</v>
      </c>
    </row>
    <row r="11" spans="1:11" x14ac:dyDescent="0.35">
      <c r="A11" s="28"/>
      <c r="B11" s="29"/>
      <c r="C11" s="14" t="s">
        <v>152</v>
      </c>
      <c r="D11" s="14" t="s">
        <v>19</v>
      </c>
      <c r="E11" s="17" t="s">
        <v>135</v>
      </c>
      <c r="F11" s="17" t="s">
        <v>136</v>
      </c>
      <c r="G11" s="17" t="s">
        <v>137</v>
      </c>
      <c r="H11" s="17" t="s">
        <v>138</v>
      </c>
      <c r="I11" s="17" t="s">
        <v>144</v>
      </c>
      <c r="J11" s="17" t="s">
        <v>143</v>
      </c>
      <c r="K11" s="1" t="s">
        <v>14</v>
      </c>
    </row>
    <row r="12" spans="1:11" x14ac:dyDescent="0.35">
      <c r="A12" s="14">
        <v>9</v>
      </c>
      <c r="B12" s="3" t="s">
        <v>20</v>
      </c>
      <c r="C12" s="14" t="s">
        <v>12</v>
      </c>
      <c r="D12" s="14" t="s">
        <v>21</v>
      </c>
      <c r="E12" s="17" t="s">
        <v>135</v>
      </c>
      <c r="F12" s="17" t="s">
        <v>136</v>
      </c>
      <c r="G12" s="17" t="s">
        <v>137</v>
      </c>
      <c r="H12" s="17" t="s">
        <v>138</v>
      </c>
      <c r="I12" s="17" t="s">
        <v>144</v>
      </c>
      <c r="J12" s="17" t="s">
        <v>143</v>
      </c>
      <c r="K12" s="1" t="s">
        <v>14</v>
      </c>
    </row>
    <row r="13" spans="1:11" x14ac:dyDescent="0.35">
      <c r="A13" s="19">
        <v>10</v>
      </c>
      <c r="B13" s="2" t="s">
        <v>22</v>
      </c>
      <c r="C13" s="19"/>
      <c r="D13" s="19" t="s">
        <v>23</v>
      </c>
      <c r="E13" s="17" t="s">
        <v>135</v>
      </c>
      <c r="F13" s="17" t="s">
        <v>136</v>
      </c>
      <c r="G13" s="17" t="s">
        <v>137</v>
      </c>
      <c r="H13" s="17" t="s">
        <v>138</v>
      </c>
      <c r="I13" s="17" t="s">
        <v>144</v>
      </c>
      <c r="J13" s="17" t="s">
        <v>143</v>
      </c>
      <c r="K13" s="16" t="s">
        <v>8</v>
      </c>
    </row>
    <row r="14" spans="1:11" x14ac:dyDescent="0.35">
      <c r="A14" s="14">
        <v>11</v>
      </c>
      <c r="B14" s="2" t="s">
        <v>24</v>
      </c>
      <c r="C14" s="19"/>
      <c r="D14" s="19" t="s">
        <v>10</v>
      </c>
      <c r="E14" s="17" t="s">
        <v>135</v>
      </c>
      <c r="F14" s="17" t="s">
        <v>136</v>
      </c>
      <c r="G14" s="17" t="s">
        <v>137</v>
      </c>
      <c r="H14" s="17" t="s">
        <v>138</v>
      </c>
      <c r="I14" s="17" t="s">
        <v>144</v>
      </c>
      <c r="J14" s="17" t="s">
        <v>143</v>
      </c>
      <c r="K14" s="16" t="s">
        <v>8</v>
      </c>
    </row>
    <row r="15" spans="1:11" x14ac:dyDescent="0.35">
      <c r="A15" s="19">
        <v>12</v>
      </c>
      <c r="B15" s="2" t="s">
        <v>25</v>
      </c>
      <c r="C15" s="19"/>
      <c r="D15" s="19" t="s">
        <v>10</v>
      </c>
      <c r="E15" s="17" t="s">
        <v>135</v>
      </c>
      <c r="F15" s="17" t="s">
        <v>136</v>
      </c>
      <c r="G15" s="17" t="s">
        <v>137</v>
      </c>
      <c r="H15" s="17" t="s">
        <v>138</v>
      </c>
      <c r="I15" s="17" t="s">
        <v>144</v>
      </c>
      <c r="J15" s="17" t="s">
        <v>143</v>
      </c>
      <c r="K15" s="16" t="s">
        <v>8</v>
      </c>
    </row>
    <row r="16" spans="1:11" x14ac:dyDescent="0.35">
      <c r="A16" s="14">
        <v>13</v>
      </c>
      <c r="B16" s="2" t="s">
        <v>26</v>
      </c>
      <c r="C16" s="20"/>
      <c r="D16" s="19" t="s">
        <v>10</v>
      </c>
      <c r="E16" s="17" t="s">
        <v>135</v>
      </c>
      <c r="F16" s="17" t="s">
        <v>136</v>
      </c>
      <c r="G16" s="17" t="s">
        <v>137</v>
      </c>
      <c r="H16" s="17" t="s">
        <v>138</v>
      </c>
      <c r="I16" s="17" t="s">
        <v>144</v>
      </c>
      <c r="J16" s="17" t="s">
        <v>143</v>
      </c>
      <c r="K16" s="16" t="s">
        <v>14</v>
      </c>
    </row>
  </sheetData>
  <mergeCells count="10">
    <mergeCell ref="A10:A11"/>
    <mergeCell ref="B10:B11"/>
    <mergeCell ref="I1:J1"/>
    <mergeCell ref="K1:K2"/>
    <mergeCell ref="D1:D2"/>
    <mergeCell ref="A1:A2"/>
    <mergeCell ref="B1:B2"/>
    <mergeCell ref="C1:C2"/>
    <mergeCell ref="E1:F1"/>
    <mergeCell ref="G1:H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3ACD-1B44-4107-A9ED-3B894CC70A3C}">
  <dimension ref="A1:S40"/>
  <sheetViews>
    <sheetView topLeftCell="K1" zoomScale="70" workbookViewId="0">
      <selection activeCell="D11" sqref="D11"/>
    </sheetView>
  </sheetViews>
  <sheetFormatPr defaultRowHeight="14.5" x14ac:dyDescent="0.35"/>
  <cols>
    <col min="1" max="1" width="15.90625" bestFit="1" customWidth="1"/>
    <col min="2" max="2" width="12.453125" bestFit="1" customWidth="1"/>
    <col min="3" max="3" width="8.6328125" bestFit="1" customWidth="1"/>
    <col min="4" max="4" width="164.6328125" bestFit="1" customWidth="1"/>
    <col min="5" max="16" width="20" bestFit="1" customWidth="1"/>
    <col min="17" max="19" width="19.90625" bestFit="1" customWidth="1"/>
  </cols>
  <sheetData>
    <row r="1" spans="1:19" x14ac:dyDescent="0.35">
      <c r="A1" s="31" t="s">
        <v>30</v>
      </c>
      <c r="B1" s="31" t="s">
        <v>31</v>
      </c>
      <c r="C1" s="31" t="s">
        <v>32</v>
      </c>
      <c r="D1" s="31" t="s">
        <v>33</v>
      </c>
      <c r="E1" s="6" t="s">
        <v>156</v>
      </c>
      <c r="F1" s="6" t="s">
        <v>156</v>
      </c>
      <c r="G1" s="6" t="s">
        <v>156</v>
      </c>
      <c r="H1" s="6" t="s">
        <v>157</v>
      </c>
      <c r="I1" s="6" t="s">
        <v>157</v>
      </c>
      <c r="J1" s="6" t="s">
        <v>157</v>
      </c>
      <c r="K1" s="6" t="s">
        <v>158</v>
      </c>
      <c r="L1" s="6" t="s">
        <v>158</v>
      </c>
      <c r="M1" s="6" t="s">
        <v>158</v>
      </c>
      <c r="N1" s="6" t="s">
        <v>159</v>
      </c>
      <c r="O1" s="6" t="s">
        <v>159</v>
      </c>
      <c r="P1" s="6" t="s">
        <v>159</v>
      </c>
      <c r="Q1" s="6" t="s">
        <v>160</v>
      </c>
      <c r="R1" s="6" t="s">
        <v>160</v>
      </c>
      <c r="S1" s="6" t="s">
        <v>160</v>
      </c>
    </row>
    <row r="2" spans="1:19" x14ac:dyDescent="0.35">
      <c r="A2" s="31"/>
      <c r="B2" s="31"/>
      <c r="C2" s="31"/>
      <c r="D2" s="31"/>
      <c r="E2" s="6" t="s">
        <v>34</v>
      </c>
      <c r="F2" s="6" t="s">
        <v>35</v>
      </c>
      <c r="G2" s="6" t="s">
        <v>36</v>
      </c>
      <c r="H2" s="6" t="s">
        <v>34</v>
      </c>
      <c r="I2" s="6" t="s">
        <v>35</v>
      </c>
      <c r="J2" s="6" t="s">
        <v>36</v>
      </c>
      <c r="K2" s="6" t="s">
        <v>34</v>
      </c>
      <c r="L2" s="6" t="s">
        <v>35</v>
      </c>
      <c r="M2" s="6" t="s">
        <v>36</v>
      </c>
      <c r="N2" s="6" t="s">
        <v>34</v>
      </c>
      <c r="O2" s="6" t="s">
        <v>35</v>
      </c>
      <c r="P2" s="6" t="s">
        <v>36</v>
      </c>
      <c r="Q2" s="6" t="s">
        <v>34</v>
      </c>
      <c r="R2" s="6" t="s">
        <v>35</v>
      </c>
      <c r="S2" s="6" t="s">
        <v>36</v>
      </c>
    </row>
    <row r="3" spans="1:19" x14ac:dyDescent="0.35">
      <c r="A3" s="9" t="s">
        <v>37</v>
      </c>
      <c r="B3" s="9" t="s">
        <v>38</v>
      </c>
      <c r="C3" s="9">
        <v>11395</v>
      </c>
      <c r="D3" s="9" t="s">
        <v>39</v>
      </c>
      <c r="E3" s="32">
        <v>0</v>
      </c>
      <c r="F3" s="32">
        <v>0</v>
      </c>
      <c r="G3" s="32">
        <v>2</v>
      </c>
      <c r="H3" s="32">
        <v>2</v>
      </c>
      <c r="I3" s="32">
        <v>2</v>
      </c>
      <c r="J3" s="32">
        <v>0</v>
      </c>
      <c r="K3" s="32">
        <v>0</v>
      </c>
      <c r="L3" s="32">
        <v>0</v>
      </c>
      <c r="M3" s="32">
        <v>2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</row>
    <row r="4" spans="1:19" x14ac:dyDescent="0.35">
      <c r="A4" s="9" t="s">
        <v>37</v>
      </c>
      <c r="B4" s="9" t="s">
        <v>38</v>
      </c>
      <c r="C4" s="9">
        <v>15024</v>
      </c>
      <c r="D4" s="9" t="s">
        <v>41</v>
      </c>
      <c r="E4" s="32">
        <v>0</v>
      </c>
      <c r="F4" s="32">
        <v>0</v>
      </c>
      <c r="G4" s="32">
        <v>0</v>
      </c>
      <c r="H4" s="32">
        <v>3</v>
      </c>
      <c r="I4" s="32">
        <v>3</v>
      </c>
      <c r="J4" s="32">
        <v>2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2">
        <v>0</v>
      </c>
      <c r="R4" s="32">
        <v>0</v>
      </c>
      <c r="S4" s="32">
        <v>0</v>
      </c>
    </row>
    <row r="5" spans="1:19" x14ac:dyDescent="0.35">
      <c r="A5" s="9" t="s">
        <v>37</v>
      </c>
      <c r="B5" s="9" t="s">
        <v>38</v>
      </c>
      <c r="C5" s="9">
        <v>9695</v>
      </c>
      <c r="D5" s="9" t="s">
        <v>42</v>
      </c>
      <c r="E5" s="32">
        <v>0</v>
      </c>
      <c r="F5" s="32">
        <v>2</v>
      </c>
      <c r="G5" s="32">
        <v>2</v>
      </c>
      <c r="H5" s="32">
        <v>2</v>
      </c>
      <c r="I5" s="32">
        <v>2</v>
      </c>
      <c r="J5" s="32">
        <v>2</v>
      </c>
      <c r="K5" s="32">
        <v>2</v>
      </c>
      <c r="L5" s="32">
        <v>2</v>
      </c>
      <c r="M5" s="32">
        <v>2</v>
      </c>
      <c r="N5" s="32">
        <v>2</v>
      </c>
      <c r="O5" s="32">
        <v>2</v>
      </c>
      <c r="P5" s="32">
        <v>2</v>
      </c>
      <c r="Q5" s="32">
        <v>2</v>
      </c>
      <c r="R5" s="32">
        <v>2</v>
      </c>
      <c r="S5" s="32">
        <v>2</v>
      </c>
    </row>
    <row r="6" spans="1:19" x14ac:dyDescent="0.35">
      <c r="A6" s="9" t="s">
        <v>37</v>
      </c>
      <c r="B6" s="9" t="s">
        <v>43</v>
      </c>
      <c r="C6" s="9">
        <v>7976</v>
      </c>
      <c r="D6" s="9" t="s">
        <v>44</v>
      </c>
      <c r="E6" s="32">
        <v>0</v>
      </c>
      <c r="F6" s="32">
        <v>2</v>
      </c>
      <c r="G6" s="32">
        <v>2</v>
      </c>
      <c r="H6" s="32">
        <v>3</v>
      </c>
      <c r="I6" s="32">
        <v>2</v>
      </c>
      <c r="J6" s="32">
        <v>2</v>
      </c>
      <c r="K6" s="32">
        <v>2</v>
      </c>
      <c r="L6" s="32">
        <v>2</v>
      </c>
      <c r="M6" s="32">
        <v>2</v>
      </c>
      <c r="N6" s="32">
        <v>2</v>
      </c>
      <c r="O6" s="32">
        <v>2</v>
      </c>
      <c r="P6" s="32">
        <v>2</v>
      </c>
      <c r="Q6" s="32">
        <v>2</v>
      </c>
      <c r="R6" s="32">
        <v>2</v>
      </c>
      <c r="S6" s="32">
        <v>2</v>
      </c>
    </row>
    <row r="7" spans="1:19" x14ac:dyDescent="0.35">
      <c r="A7" s="9" t="s">
        <v>37</v>
      </c>
      <c r="B7" s="9" t="s">
        <v>45</v>
      </c>
      <c r="C7" s="9">
        <v>8017</v>
      </c>
      <c r="D7" s="9" t="s">
        <v>46</v>
      </c>
      <c r="E7" s="32">
        <v>0</v>
      </c>
      <c r="F7" s="32">
        <v>3</v>
      </c>
      <c r="G7" s="32">
        <v>5</v>
      </c>
      <c r="H7" s="32">
        <v>5</v>
      </c>
      <c r="I7" s="32">
        <v>4</v>
      </c>
      <c r="J7" s="32">
        <v>3</v>
      </c>
      <c r="K7" s="32">
        <v>3</v>
      </c>
      <c r="L7" s="32">
        <v>2</v>
      </c>
      <c r="M7" s="32">
        <v>4</v>
      </c>
      <c r="N7" s="32">
        <v>3</v>
      </c>
      <c r="O7" s="32">
        <v>3</v>
      </c>
      <c r="P7" s="32">
        <v>3</v>
      </c>
      <c r="Q7" s="32">
        <v>3</v>
      </c>
      <c r="R7" s="32">
        <v>2</v>
      </c>
      <c r="S7" s="32">
        <v>2</v>
      </c>
    </row>
    <row r="8" spans="1:19" x14ac:dyDescent="0.35">
      <c r="A8" s="9" t="s">
        <v>37</v>
      </c>
      <c r="B8" s="9" t="s">
        <v>45</v>
      </c>
      <c r="C8" s="9">
        <v>926</v>
      </c>
      <c r="D8" s="9" t="s">
        <v>47</v>
      </c>
      <c r="E8" s="32">
        <v>0</v>
      </c>
      <c r="F8" s="32">
        <v>0</v>
      </c>
      <c r="G8" s="32">
        <v>0</v>
      </c>
      <c r="H8" s="32">
        <v>4</v>
      </c>
      <c r="I8" s="32">
        <v>4</v>
      </c>
      <c r="J8" s="32">
        <v>3</v>
      </c>
      <c r="K8" s="32">
        <v>3</v>
      </c>
      <c r="L8" s="32">
        <v>2</v>
      </c>
      <c r="M8" s="32">
        <v>3</v>
      </c>
      <c r="N8" s="32">
        <v>3</v>
      </c>
      <c r="O8" s="32">
        <v>3</v>
      </c>
      <c r="P8" s="32">
        <v>3</v>
      </c>
      <c r="Q8" s="32">
        <v>0</v>
      </c>
      <c r="R8" s="32">
        <v>0</v>
      </c>
      <c r="S8" s="32">
        <v>0</v>
      </c>
    </row>
    <row r="9" spans="1:19" x14ac:dyDescent="0.35">
      <c r="A9" s="9" t="s">
        <v>37</v>
      </c>
      <c r="B9" s="9" t="s">
        <v>48</v>
      </c>
      <c r="C9" s="9">
        <v>8548</v>
      </c>
      <c r="D9" s="9" t="s">
        <v>49</v>
      </c>
      <c r="E9" s="32">
        <v>0</v>
      </c>
      <c r="F9" s="32">
        <v>3</v>
      </c>
      <c r="G9" s="32">
        <v>3</v>
      </c>
      <c r="H9" s="32">
        <v>3</v>
      </c>
      <c r="I9" s="32">
        <v>3</v>
      </c>
      <c r="J9" s="32">
        <v>3</v>
      </c>
      <c r="K9" s="32">
        <v>2</v>
      </c>
      <c r="L9" s="32">
        <v>2</v>
      </c>
      <c r="M9" s="32">
        <v>3</v>
      </c>
      <c r="N9" s="32">
        <v>3</v>
      </c>
      <c r="O9" s="32">
        <v>2</v>
      </c>
      <c r="P9" s="32">
        <v>2</v>
      </c>
      <c r="Q9" s="32">
        <v>2</v>
      </c>
      <c r="R9" s="32">
        <v>2</v>
      </c>
      <c r="S9" s="32">
        <v>2</v>
      </c>
    </row>
    <row r="10" spans="1:19" x14ac:dyDescent="0.35">
      <c r="A10" s="9" t="s">
        <v>37</v>
      </c>
      <c r="B10" s="9" t="s">
        <v>50</v>
      </c>
      <c r="C10" s="9">
        <v>24868</v>
      </c>
      <c r="D10" s="9" t="s">
        <v>51</v>
      </c>
      <c r="E10" s="32">
        <v>0</v>
      </c>
      <c r="F10" s="32">
        <v>2</v>
      </c>
      <c r="G10" s="32">
        <v>2</v>
      </c>
      <c r="H10" s="32">
        <v>2</v>
      </c>
      <c r="I10" s="32">
        <v>2</v>
      </c>
      <c r="J10" s="32">
        <v>2</v>
      </c>
      <c r="K10" s="32">
        <v>2</v>
      </c>
      <c r="L10" s="32">
        <v>2</v>
      </c>
      <c r="M10" s="32">
        <v>2</v>
      </c>
      <c r="N10" s="32">
        <v>2</v>
      </c>
      <c r="O10" s="32">
        <v>2</v>
      </c>
      <c r="P10" s="32">
        <v>2</v>
      </c>
      <c r="Q10" s="32">
        <v>0</v>
      </c>
      <c r="R10" s="32">
        <v>0</v>
      </c>
      <c r="S10" s="32">
        <v>0</v>
      </c>
    </row>
    <row r="11" spans="1:19" x14ac:dyDescent="0.35">
      <c r="A11" s="9" t="s">
        <v>37</v>
      </c>
      <c r="B11" s="9" t="s">
        <v>50</v>
      </c>
      <c r="C11" s="9">
        <v>33404</v>
      </c>
      <c r="D11" s="9" t="s">
        <v>52</v>
      </c>
      <c r="E11" s="32">
        <v>0</v>
      </c>
      <c r="F11" s="32">
        <v>0</v>
      </c>
      <c r="G11" s="32">
        <v>0</v>
      </c>
      <c r="H11" s="32">
        <v>2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2</v>
      </c>
      <c r="R11" s="32">
        <v>2</v>
      </c>
      <c r="S11" s="32">
        <v>2</v>
      </c>
    </row>
    <row r="12" spans="1:19" x14ac:dyDescent="0.35">
      <c r="A12" s="9" t="s">
        <v>37</v>
      </c>
      <c r="B12" s="9" t="s">
        <v>50</v>
      </c>
      <c r="C12" s="9">
        <v>40666</v>
      </c>
      <c r="D12" s="9" t="s">
        <v>53</v>
      </c>
      <c r="E12" s="32">
        <v>0</v>
      </c>
      <c r="F12" s="32">
        <v>0</v>
      </c>
      <c r="G12" s="32">
        <v>0</v>
      </c>
      <c r="H12" s="32">
        <v>3</v>
      </c>
      <c r="I12" s="32">
        <v>3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</row>
    <row r="13" spans="1:19" x14ac:dyDescent="0.35">
      <c r="A13" s="9" t="s">
        <v>37</v>
      </c>
      <c r="B13" s="9" t="s">
        <v>50</v>
      </c>
      <c r="C13" s="9">
        <v>40915</v>
      </c>
      <c r="D13" s="9" t="s">
        <v>54</v>
      </c>
      <c r="E13" s="32">
        <v>0</v>
      </c>
      <c r="F13" s="32">
        <v>0</v>
      </c>
      <c r="G13" s="32">
        <v>2</v>
      </c>
      <c r="H13" s="32">
        <v>2</v>
      </c>
      <c r="I13" s="32">
        <v>0</v>
      </c>
      <c r="J13" s="32">
        <v>0</v>
      </c>
      <c r="K13" s="32">
        <v>0</v>
      </c>
      <c r="L13" s="32">
        <v>0</v>
      </c>
      <c r="M13" s="32">
        <v>2</v>
      </c>
      <c r="N13" s="32">
        <v>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</row>
    <row r="14" spans="1:19" x14ac:dyDescent="0.35">
      <c r="A14" s="9" t="s">
        <v>37</v>
      </c>
      <c r="B14" s="9" t="s">
        <v>55</v>
      </c>
      <c r="C14" s="9">
        <v>14118</v>
      </c>
      <c r="D14" s="9" t="s">
        <v>56</v>
      </c>
      <c r="E14" s="32">
        <v>0</v>
      </c>
      <c r="F14" s="32">
        <v>2</v>
      </c>
      <c r="G14" s="32">
        <v>2</v>
      </c>
      <c r="H14" s="32">
        <v>2</v>
      </c>
      <c r="I14" s="32">
        <v>2</v>
      </c>
      <c r="J14" s="32">
        <v>2</v>
      </c>
      <c r="K14" s="32">
        <v>2</v>
      </c>
      <c r="L14" s="32">
        <v>2</v>
      </c>
      <c r="M14" s="32">
        <v>2</v>
      </c>
      <c r="N14" s="32">
        <v>2</v>
      </c>
      <c r="O14" s="32">
        <v>2</v>
      </c>
      <c r="P14" s="32">
        <v>2</v>
      </c>
      <c r="Q14" s="32">
        <v>2</v>
      </c>
      <c r="R14" s="32">
        <v>2</v>
      </c>
      <c r="S14" s="32">
        <v>2</v>
      </c>
    </row>
    <row r="15" spans="1:19" x14ac:dyDescent="0.35">
      <c r="A15" s="9" t="s">
        <v>37</v>
      </c>
      <c r="B15" s="9" t="s">
        <v>57</v>
      </c>
      <c r="C15" s="9">
        <v>15806</v>
      </c>
      <c r="D15" s="9" t="s">
        <v>58</v>
      </c>
      <c r="E15" s="32">
        <v>0</v>
      </c>
      <c r="F15" s="32">
        <v>0</v>
      </c>
      <c r="G15" s="32">
        <v>3</v>
      </c>
      <c r="H15" s="32">
        <v>3</v>
      </c>
      <c r="I15" s="32">
        <v>3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</row>
    <row r="16" spans="1:19" x14ac:dyDescent="0.35">
      <c r="A16" s="9" t="s">
        <v>37</v>
      </c>
      <c r="B16" s="9" t="s">
        <v>57</v>
      </c>
      <c r="C16" s="9">
        <v>23441</v>
      </c>
      <c r="D16" s="9" t="s">
        <v>59</v>
      </c>
      <c r="E16" s="32">
        <v>0</v>
      </c>
      <c r="F16" s="32">
        <v>0</v>
      </c>
      <c r="G16" s="32">
        <v>0</v>
      </c>
      <c r="H16" s="32">
        <v>2</v>
      </c>
      <c r="I16" s="32">
        <v>2</v>
      </c>
      <c r="J16" s="32">
        <v>2</v>
      </c>
      <c r="K16" s="32">
        <v>2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2</v>
      </c>
      <c r="R16" s="32">
        <v>2</v>
      </c>
      <c r="S16" s="32">
        <v>2</v>
      </c>
    </row>
    <row r="17" spans="1:19" x14ac:dyDescent="0.35">
      <c r="A17" s="9" t="s">
        <v>37</v>
      </c>
      <c r="B17" s="9" t="s">
        <v>57</v>
      </c>
      <c r="C17" s="9">
        <v>23443</v>
      </c>
      <c r="D17" s="9" t="s">
        <v>60</v>
      </c>
      <c r="E17" s="32">
        <v>2</v>
      </c>
      <c r="F17" s="32">
        <v>2</v>
      </c>
      <c r="G17" s="32">
        <v>3</v>
      </c>
      <c r="H17" s="32">
        <v>3</v>
      </c>
      <c r="I17" s="32">
        <v>3</v>
      </c>
      <c r="J17" s="32">
        <v>3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</row>
    <row r="18" spans="1:19" x14ac:dyDescent="0.35">
      <c r="A18" s="9" t="s">
        <v>37</v>
      </c>
      <c r="B18" s="9" t="s">
        <v>57</v>
      </c>
      <c r="C18" s="9">
        <v>23445</v>
      </c>
      <c r="D18" s="9" t="s">
        <v>61</v>
      </c>
      <c r="E18" s="32">
        <v>0</v>
      </c>
      <c r="F18" s="32">
        <v>0</v>
      </c>
      <c r="G18" s="32">
        <v>0</v>
      </c>
      <c r="H18" s="32">
        <v>3</v>
      </c>
      <c r="I18" s="32">
        <v>4</v>
      </c>
      <c r="J18" s="32">
        <v>0</v>
      </c>
      <c r="K18" s="32">
        <v>3</v>
      </c>
      <c r="L18" s="32">
        <v>2</v>
      </c>
      <c r="M18" s="32">
        <v>3</v>
      </c>
      <c r="N18" s="32">
        <v>3</v>
      </c>
      <c r="O18" s="32">
        <v>3</v>
      </c>
      <c r="P18" s="32">
        <v>3</v>
      </c>
      <c r="Q18" s="32">
        <v>0</v>
      </c>
      <c r="R18" s="32">
        <v>0</v>
      </c>
      <c r="S18" s="32">
        <v>0</v>
      </c>
    </row>
    <row r="19" spans="1:19" x14ac:dyDescent="0.35">
      <c r="A19" s="9" t="s">
        <v>37</v>
      </c>
      <c r="B19" s="9" t="s">
        <v>57</v>
      </c>
      <c r="C19" s="9">
        <v>33399</v>
      </c>
      <c r="D19" s="9" t="s">
        <v>62</v>
      </c>
      <c r="E19" s="32">
        <v>0</v>
      </c>
      <c r="F19" s="32">
        <v>0</v>
      </c>
      <c r="G19" s="32">
        <v>3</v>
      </c>
      <c r="H19" s="32">
        <v>2</v>
      </c>
      <c r="I19" s="32">
        <v>2</v>
      </c>
      <c r="J19" s="32">
        <v>0</v>
      </c>
      <c r="K19" s="32">
        <v>0</v>
      </c>
      <c r="L19" s="32">
        <v>0</v>
      </c>
      <c r="M19" s="32">
        <v>2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19" x14ac:dyDescent="0.35">
      <c r="A20" s="9" t="s">
        <v>37</v>
      </c>
      <c r="B20" s="9" t="s">
        <v>57</v>
      </c>
      <c r="C20" s="9">
        <v>33400</v>
      </c>
      <c r="D20" s="9" t="s">
        <v>63</v>
      </c>
      <c r="E20" s="32">
        <v>0</v>
      </c>
      <c r="F20" s="32">
        <v>0</v>
      </c>
      <c r="G20" s="32">
        <v>3</v>
      </c>
      <c r="H20" s="32">
        <v>3</v>
      </c>
      <c r="I20" s="32">
        <v>3</v>
      </c>
      <c r="J20" s="32">
        <v>3</v>
      </c>
      <c r="K20" s="32">
        <v>2</v>
      </c>
      <c r="L20" s="32">
        <v>2</v>
      </c>
      <c r="M20" s="32">
        <v>3</v>
      </c>
      <c r="N20" s="32">
        <v>3</v>
      </c>
      <c r="O20" s="32">
        <v>2</v>
      </c>
      <c r="P20" s="32">
        <v>2</v>
      </c>
      <c r="Q20" s="32">
        <v>2</v>
      </c>
      <c r="R20" s="32">
        <v>2</v>
      </c>
      <c r="S20" s="32">
        <v>2</v>
      </c>
    </row>
    <row r="21" spans="1:19" x14ac:dyDescent="0.35">
      <c r="A21" s="9" t="s">
        <v>37</v>
      </c>
      <c r="B21" s="9" t="s">
        <v>57</v>
      </c>
      <c r="C21" s="9">
        <v>40671</v>
      </c>
      <c r="D21" s="9" t="s">
        <v>64</v>
      </c>
      <c r="E21" s="32">
        <v>0</v>
      </c>
      <c r="F21" s="32">
        <v>0</v>
      </c>
      <c r="G21" s="32">
        <v>0</v>
      </c>
      <c r="H21" s="32">
        <v>3</v>
      </c>
      <c r="I21" s="32">
        <v>3</v>
      </c>
      <c r="J21" s="32">
        <v>2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</row>
    <row r="22" spans="1:19" x14ac:dyDescent="0.35">
      <c r="A22" s="9" t="s">
        <v>37</v>
      </c>
      <c r="B22" s="9" t="s">
        <v>57</v>
      </c>
      <c r="C22" s="9">
        <v>4404</v>
      </c>
      <c r="D22" s="9" t="s">
        <v>65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2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</row>
    <row r="23" spans="1:19" x14ac:dyDescent="0.35">
      <c r="A23" s="9" t="s">
        <v>37</v>
      </c>
      <c r="B23" s="9" t="s">
        <v>66</v>
      </c>
      <c r="C23" s="9">
        <v>26487</v>
      </c>
      <c r="D23" s="9" t="s">
        <v>67</v>
      </c>
      <c r="E23" s="32">
        <v>0</v>
      </c>
      <c r="F23" s="32">
        <v>2</v>
      </c>
      <c r="G23" s="32">
        <v>2</v>
      </c>
      <c r="H23" s="32">
        <v>3</v>
      </c>
      <c r="I23" s="32">
        <v>3</v>
      </c>
      <c r="J23" s="32">
        <v>3</v>
      </c>
      <c r="K23" s="32">
        <v>2</v>
      </c>
      <c r="L23" s="32">
        <v>2</v>
      </c>
      <c r="M23" s="32">
        <v>2</v>
      </c>
      <c r="N23" s="32">
        <v>2</v>
      </c>
      <c r="O23" s="32">
        <v>2</v>
      </c>
      <c r="P23" s="32">
        <v>2</v>
      </c>
      <c r="Q23" s="32">
        <v>2</v>
      </c>
      <c r="R23" s="32">
        <v>2</v>
      </c>
      <c r="S23" s="32">
        <v>2</v>
      </c>
    </row>
    <row r="24" spans="1:19" x14ac:dyDescent="0.35">
      <c r="A24" s="9" t="s">
        <v>37</v>
      </c>
      <c r="B24" s="9" t="s">
        <v>68</v>
      </c>
      <c r="C24" s="9">
        <v>7949</v>
      </c>
      <c r="D24" s="9" t="s">
        <v>69</v>
      </c>
      <c r="E24" s="32">
        <v>0</v>
      </c>
      <c r="F24" s="32">
        <v>2</v>
      </c>
      <c r="G24" s="32">
        <v>2</v>
      </c>
      <c r="H24" s="32">
        <v>2</v>
      </c>
      <c r="I24" s="32">
        <v>2</v>
      </c>
      <c r="J24" s="32">
        <v>2</v>
      </c>
      <c r="K24" s="32">
        <v>2</v>
      </c>
      <c r="L24" s="32">
        <v>2</v>
      </c>
      <c r="M24" s="32">
        <v>2</v>
      </c>
      <c r="N24" s="32">
        <v>2</v>
      </c>
      <c r="O24" s="32">
        <v>2</v>
      </c>
      <c r="P24" s="32">
        <v>2</v>
      </c>
      <c r="Q24" s="32">
        <v>2</v>
      </c>
      <c r="R24" s="32">
        <v>2</v>
      </c>
      <c r="S24" s="32">
        <v>2</v>
      </c>
    </row>
    <row r="25" spans="1:19" x14ac:dyDescent="0.35">
      <c r="A25" s="9" t="s">
        <v>37</v>
      </c>
      <c r="B25" s="9" t="s">
        <v>70</v>
      </c>
      <c r="C25" s="9">
        <v>13305</v>
      </c>
      <c r="D25" s="9" t="s">
        <v>71</v>
      </c>
      <c r="E25" s="32">
        <v>0</v>
      </c>
      <c r="F25" s="32">
        <v>0</v>
      </c>
      <c r="G25" s="32">
        <v>0</v>
      </c>
      <c r="H25" s="32">
        <v>2</v>
      </c>
      <c r="I25" s="32">
        <v>2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</row>
    <row r="26" spans="1:19" x14ac:dyDescent="0.35">
      <c r="A26" s="9" t="s">
        <v>37</v>
      </c>
      <c r="B26" s="9" t="s">
        <v>70</v>
      </c>
      <c r="C26" s="9">
        <v>15798</v>
      </c>
      <c r="D26" s="9" t="s">
        <v>72</v>
      </c>
      <c r="E26" s="32">
        <v>0</v>
      </c>
      <c r="F26" s="32">
        <v>0</v>
      </c>
      <c r="G26" s="32">
        <v>0</v>
      </c>
      <c r="H26" s="32">
        <v>2</v>
      </c>
      <c r="I26" s="32">
        <v>2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2</v>
      </c>
      <c r="R26" s="32">
        <v>0</v>
      </c>
      <c r="S26" s="32">
        <v>0</v>
      </c>
    </row>
    <row r="27" spans="1:19" x14ac:dyDescent="0.35">
      <c r="A27" s="9" t="s">
        <v>37</v>
      </c>
      <c r="B27" s="9" t="s">
        <v>70</v>
      </c>
      <c r="C27" s="9">
        <v>9499</v>
      </c>
      <c r="D27" s="9" t="s">
        <v>73</v>
      </c>
      <c r="E27" s="32">
        <v>0</v>
      </c>
      <c r="F27" s="32">
        <v>0</v>
      </c>
      <c r="G27" s="32">
        <v>0</v>
      </c>
      <c r="H27" s="32">
        <v>2</v>
      </c>
      <c r="I27" s="32">
        <v>2</v>
      </c>
      <c r="J27" s="32">
        <v>0</v>
      </c>
      <c r="K27" s="32">
        <v>0</v>
      </c>
      <c r="L27" s="32">
        <v>0</v>
      </c>
      <c r="M27" s="32">
        <v>2</v>
      </c>
      <c r="N27" s="32">
        <v>0</v>
      </c>
      <c r="O27" s="32">
        <v>0</v>
      </c>
      <c r="P27" s="32">
        <v>0</v>
      </c>
      <c r="Q27" s="32">
        <v>2</v>
      </c>
      <c r="R27" s="32">
        <v>2</v>
      </c>
      <c r="S27" s="32">
        <v>2</v>
      </c>
    </row>
    <row r="28" spans="1:19" x14ac:dyDescent="0.35">
      <c r="A28" s="9" t="s">
        <v>37</v>
      </c>
      <c r="B28" s="9" t="s">
        <v>74</v>
      </c>
      <c r="C28" s="9">
        <v>13302</v>
      </c>
      <c r="D28" s="9" t="s">
        <v>75</v>
      </c>
      <c r="E28" s="32">
        <v>0</v>
      </c>
      <c r="F28" s="32">
        <v>0</v>
      </c>
      <c r="G28" s="32">
        <v>0</v>
      </c>
      <c r="H28" s="32">
        <v>3</v>
      </c>
      <c r="I28" s="32">
        <v>3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</row>
    <row r="29" spans="1:19" x14ac:dyDescent="0.35">
      <c r="A29" s="9" t="s">
        <v>37</v>
      </c>
      <c r="B29" s="9" t="s">
        <v>74</v>
      </c>
      <c r="C29" s="9">
        <v>14112</v>
      </c>
      <c r="D29" s="9" t="s">
        <v>76</v>
      </c>
      <c r="E29" s="32">
        <v>0</v>
      </c>
      <c r="F29" s="32">
        <v>0</v>
      </c>
      <c r="G29" s="32">
        <v>0</v>
      </c>
      <c r="H29" s="32">
        <v>2</v>
      </c>
      <c r="I29" s="32">
        <v>2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</row>
    <row r="30" spans="1:19" x14ac:dyDescent="0.35">
      <c r="A30" s="9" t="s">
        <v>37</v>
      </c>
      <c r="B30" s="9" t="s">
        <v>74</v>
      </c>
      <c r="C30" s="9">
        <v>15792</v>
      </c>
      <c r="D30" s="9" t="s">
        <v>77</v>
      </c>
      <c r="E30" s="32">
        <v>0</v>
      </c>
      <c r="F30" s="32">
        <v>0</v>
      </c>
      <c r="G30" s="32">
        <v>0</v>
      </c>
      <c r="H30" s="32">
        <v>3</v>
      </c>
      <c r="I30" s="32">
        <v>3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</row>
    <row r="31" spans="1:19" x14ac:dyDescent="0.35">
      <c r="A31" s="9" t="s">
        <v>37</v>
      </c>
      <c r="B31" s="9" t="s">
        <v>74</v>
      </c>
      <c r="C31" s="9">
        <v>2220</v>
      </c>
      <c r="D31" s="9" t="s">
        <v>78</v>
      </c>
      <c r="E31" s="32">
        <v>0</v>
      </c>
      <c r="F31" s="32">
        <v>0</v>
      </c>
      <c r="G31" s="32">
        <v>0</v>
      </c>
      <c r="H31" s="32">
        <v>2</v>
      </c>
      <c r="I31" s="32">
        <v>2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</row>
    <row r="32" spans="1:19" x14ac:dyDescent="0.35">
      <c r="A32" s="9" t="s">
        <v>37</v>
      </c>
      <c r="B32" s="9" t="s">
        <v>74</v>
      </c>
      <c r="C32" s="9">
        <v>23401</v>
      </c>
      <c r="D32" s="9" t="s">
        <v>79</v>
      </c>
      <c r="E32" s="32">
        <v>0</v>
      </c>
      <c r="F32" s="32">
        <v>0</v>
      </c>
      <c r="G32" s="32">
        <v>0</v>
      </c>
      <c r="H32" s="32">
        <v>2</v>
      </c>
      <c r="I32" s="32">
        <v>2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</row>
    <row r="33" spans="1:19" x14ac:dyDescent="0.35">
      <c r="A33" s="9" t="s">
        <v>37</v>
      </c>
      <c r="B33" s="9" t="s">
        <v>74</v>
      </c>
      <c r="C33" s="9">
        <v>23883</v>
      </c>
      <c r="D33" s="9" t="s">
        <v>80</v>
      </c>
      <c r="E33" s="32">
        <v>0</v>
      </c>
      <c r="F33" s="32">
        <v>0</v>
      </c>
      <c r="G33" s="32">
        <v>0</v>
      </c>
      <c r="H33" s="32">
        <v>3</v>
      </c>
      <c r="I33" s="32">
        <v>3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</row>
    <row r="34" spans="1:19" x14ac:dyDescent="0.35">
      <c r="A34" s="9" t="s">
        <v>37</v>
      </c>
      <c r="B34" s="9" t="s">
        <v>74</v>
      </c>
      <c r="C34" s="9">
        <v>34017</v>
      </c>
      <c r="D34" s="9" t="s">
        <v>81</v>
      </c>
      <c r="E34" s="32">
        <v>0</v>
      </c>
      <c r="F34" s="32">
        <v>0</v>
      </c>
      <c r="G34" s="32">
        <v>0</v>
      </c>
      <c r="H34" s="32">
        <v>2</v>
      </c>
      <c r="I34" s="32">
        <v>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</row>
    <row r="35" spans="1:19" x14ac:dyDescent="0.35">
      <c r="A35" s="9" t="s">
        <v>37</v>
      </c>
      <c r="B35" s="9" t="s">
        <v>74</v>
      </c>
      <c r="C35" s="9">
        <v>41079</v>
      </c>
      <c r="D35" s="9" t="s">
        <v>82</v>
      </c>
      <c r="E35" s="32">
        <v>0</v>
      </c>
      <c r="F35" s="32">
        <v>0</v>
      </c>
      <c r="G35" s="32">
        <v>0</v>
      </c>
      <c r="H35" s="32">
        <v>2</v>
      </c>
      <c r="I35" s="32">
        <v>2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</row>
    <row r="36" spans="1:19" x14ac:dyDescent="0.35">
      <c r="A36" s="9" t="s">
        <v>37</v>
      </c>
      <c r="B36" s="9" t="s">
        <v>74</v>
      </c>
      <c r="C36" s="9">
        <v>41668</v>
      </c>
      <c r="D36" s="9" t="s">
        <v>83</v>
      </c>
      <c r="E36" s="32">
        <v>0</v>
      </c>
      <c r="F36" s="32">
        <v>0</v>
      </c>
      <c r="G36" s="32">
        <v>2</v>
      </c>
      <c r="H36" s="32">
        <v>2</v>
      </c>
      <c r="I36" s="32">
        <v>2</v>
      </c>
      <c r="J36" s="32">
        <v>0</v>
      </c>
      <c r="K36" s="32">
        <v>0</v>
      </c>
      <c r="L36" s="32">
        <v>0</v>
      </c>
      <c r="M36" s="32">
        <v>2</v>
      </c>
      <c r="N36" s="32">
        <v>2</v>
      </c>
      <c r="O36" s="32">
        <v>2</v>
      </c>
      <c r="P36" s="32">
        <v>0</v>
      </c>
      <c r="Q36" s="32">
        <v>0</v>
      </c>
      <c r="R36" s="32">
        <v>0</v>
      </c>
      <c r="S36" s="32">
        <v>0</v>
      </c>
    </row>
    <row r="37" spans="1:19" x14ac:dyDescent="0.35">
      <c r="A37" s="9" t="s">
        <v>37</v>
      </c>
      <c r="B37" s="9" t="s">
        <v>74</v>
      </c>
      <c r="C37" s="9">
        <v>42226</v>
      </c>
      <c r="D37" s="9" t="s">
        <v>84</v>
      </c>
      <c r="E37" s="32">
        <v>0</v>
      </c>
      <c r="F37" s="32">
        <v>0</v>
      </c>
      <c r="G37" s="32">
        <v>0</v>
      </c>
      <c r="H37" s="32">
        <v>3</v>
      </c>
      <c r="I37" s="32">
        <v>3</v>
      </c>
      <c r="J37" s="32">
        <v>2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</row>
    <row r="38" spans="1:19" x14ac:dyDescent="0.35">
      <c r="A38" s="9" t="s">
        <v>37</v>
      </c>
      <c r="B38" s="9" t="s">
        <v>74</v>
      </c>
      <c r="C38" s="9">
        <v>7945</v>
      </c>
      <c r="D38" s="9" t="s">
        <v>85</v>
      </c>
      <c r="E38" s="32">
        <v>0</v>
      </c>
      <c r="F38" s="32">
        <v>2</v>
      </c>
      <c r="G38" s="32">
        <v>2</v>
      </c>
      <c r="H38" s="32">
        <v>2</v>
      </c>
      <c r="I38" s="32">
        <v>2</v>
      </c>
      <c r="J38" s="32">
        <v>2</v>
      </c>
      <c r="K38" s="32">
        <v>2</v>
      </c>
      <c r="L38" s="32">
        <v>2</v>
      </c>
      <c r="M38" s="32">
        <v>2</v>
      </c>
      <c r="N38" s="32">
        <v>2</v>
      </c>
      <c r="O38" s="32">
        <v>2</v>
      </c>
      <c r="P38" s="32">
        <v>2</v>
      </c>
      <c r="Q38" s="32">
        <v>2</v>
      </c>
      <c r="R38" s="32">
        <v>2</v>
      </c>
      <c r="S38" s="32">
        <v>2</v>
      </c>
    </row>
    <row r="39" spans="1:19" x14ac:dyDescent="0.35">
      <c r="A39" s="9" t="s">
        <v>37</v>
      </c>
      <c r="B39" s="9" t="s">
        <v>74</v>
      </c>
      <c r="C39" s="9">
        <v>9519</v>
      </c>
      <c r="D39" s="9" t="s">
        <v>86</v>
      </c>
      <c r="E39" s="32">
        <v>0</v>
      </c>
      <c r="F39" s="32">
        <v>0</v>
      </c>
      <c r="G39" s="32">
        <v>0</v>
      </c>
      <c r="H39" s="32">
        <v>3</v>
      </c>
      <c r="I39" s="32">
        <v>3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</row>
    <row r="40" spans="1:19" x14ac:dyDescent="0.35">
      <c r="A40" s="9" t="s">
        <v>37</v>
      </c>
      <c r="B40" s="9" t="s">
        <v>74</v>
      </c>
      <c r="C40" s="9">
        <v>9633</v>
      </c>
      <c r="D40" s="9" t="s">
        <v>87</v>
      </c>
      <c r="E40" s="32">
        <v>0</v>
      </c>
      <c r="F40" s="32">
        <v>0</v>
      </c>
      <c r="G40" s="32">
        <v>0</v>
      </c>
      <c r="H40" s="32">
        <v>2</v>
      </c>
      <c r="I40" s="32">
        <v>2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</row>
  </sheetData>
  <mergeCells count="4">
    <mergeCell ref="A1:A2"/>
    <mergeCell ref="B1:B2"/>
    <mergeCell ref="C1:C2"/>
    <mergeCell ref="D1:D2"/>
  </mergeCells>
  <conditionalFormatting sqref="C1">
    <cfRule type="duplicateValues" dxfId="3" priority="1" stopIfTrue="1"/>
    <cfRule type="duplicateValues" dxfId="2" priority="2" stopIfTrue="1"/>
  </conditionalFormatting>
  <conditionalFormatting sqref="C1:D1">
    <cfRule type="duplicateValues" dxfId="1" priority="3" stopIfTrue="1"/>
  </conditionalFormatting>
  <conditionalFormatting sqref="D1">
    <cfRule type="duplicateValues" dxfId="0" priority="4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2219-CF4B-44B2-9EC6-793AC77AD1F6}">
  <dimension ref="A1:P3"/>
  <sheetViews>
    <sheetView workbookViewId="0">
      <selection activeCell="D16" sqref="D16"/>
    </sheetView>
  </sheetViews>
  <sheetFormatPr defaultRowHeight="14.5" x14ac:dyDescent="0.35"/>
  <cols>
    <col min="1" max="1" width="14" bestFit="1" customWidth="1"/>
    <col min="2" max="2" width="7.26953125" bestFit="1" customWidth="1"/>
    <col min="3" max="3" width="8.26953125" bestFit="1" customWidth="1"/>
    <col min="4" max="5" width="7.26953125" bestFit="1" customWidth="1"/>
    <col min="6" max="6" width="8.26953125" bestFit="1" customWidth="1"/>
    <col min="7" max="8" width="7.26953125" bestFit="1" customWidth="1"/>
    <col min="9" max="9" width="8.26953125" bestFit="1" customWidth="1"/>
    <col min="10" max="11" width="7.26953125" bestFit="1" customWidth="1"/>
    <col min="12" max="12" width="8.26953125" bestFit="1" customWidth="1"/>
    <col min="13" max="14" width="7.26953125" bestFit="1" customWidth="1"/>
    <col min="15" max="15" width="8.26953125" bestFit="1" customWidth="1"/>
    <col min="16" max="16" width="7.26953125" bestFit="1" customWidth="1"/>
  </cols>
  <sheetData>
    <row r="1" spans="1:16" ht="14.5" customHeight="1" x14ac:dyDescent="0.35">
      <c r="A1" s="35" t="s">
        <v>171</v>
      </c>
      <c r="B1" s="36" t="s">
        <v>161</v>
      </c>
      <c r="C1" s="36"/>
      <c r="D1" s="36"/>
      <c r="E1" s="36" t="s">
        <v>162</v>
      </c>
      <c r="F1" s="36"/>
      <c r="G1" s="36"/>
      <c r="H1" s="36" t="s">
        <v>163</v>
      </c>
      <c r="I1" s="36"/>
      <c r="J1" s="36"/>
      <c r="K1" s="36" t="s">
        <v>164</v>
      </c>
      <c r="L1" s="36"/>
      <c r="M1" s="36"/>
      <c r="N1" s="36" t="s">
        <v>165</v>
      </c>
      <c r="O1" s="36"/>
      <c r="P1" s="36"/>
    </row>
    <row r="2" spans="1:16" x14ac:dyDescent="0.35">
      <c r="A2" s="33" t="s">
        <v>166</v>
      </c>
      <c r="B2" s="33" t="s">
        <v>167</v>
      </c>
      <c r="C2" s="33" t="s">
        <v>168</v>
      </c>
      <c r="D2" s="33" t="s">
        <v>169</v>
      </c>
      <c r="E2" s="33" t="s">
        <v>167</v>
      </c>
      <c r="F2" s="33" t="s">
        <v>168</v>
      </c>
      <c r="G2" s="33" t="s">
        <v>169</v>
      </c>
      <c r="H2" s="33" t="s">
        <v>167</v>
      </c>
      <c r="I2" s="33" t="s">
        <v>168</v>
      </c>
      <c r="J2" s="33" t="s">
        <v>169</v>
      </c>
      <c r="K2" s="33" t="s">
        <v>167</v>
      </c>
      <c r="L2" s="33" t="s">
        <v>168</v>
      </c>
      <c r="M2" s="33" t="s">
        <v>169</v>
      </c>
      <c r="N2" s="33" t="s">
        <v>167</v>
      </c>
      <c r="O2" s="33" t="s">
        <v>168</v>
      </c>
      <c r="P2" s="33" t="s">
        <v>169</v>
      </c>
    </row>
    <row r="3" spans="1:16" x14ac:dyDescent="0.35">
      <c r="A3" s="33" t="s">
        <v>170</v>
      </c>
      <c r="B3" s="34">
        <v>0.33333333333333331</v>
      </c>
      <c r="C3" s="34">
        <v>0.5</v>
      </c>
      <c r="D3" s="34">
        <v>0.66666666666666663</v>
      </c>
      <c r="E3" s="34">
        <v>0.33333333333333331</v>
      </c>
      <c r="F3" s="34">
        <v>0.5</v>
      </c>
      <c r="G3" s="34">
        <v>0.66666666666666663</v>
      </c>
      <c r="H3" s="34">
        <v>0.33333333333333331</v>
      </c>
      <c r="I3" s="34">
        <v>0.5</v>
      </c>
      <c r="J3" s="34">
        <v>0.66666666666666663</v>
      </c>
      <c r="K3" s="34">
        <v>0.33333333333333331</v>
      </c>
      <c r="L3" s="34">
        <v>0.5</v>
      </c>
      <c r="M3" s="34">
        <v>0.66666666666666663</v>
      </c>
      <c r="N3" s="34">
        <v>0.33333333333333331</v>
      </c>
      <c r="O3" s="34">
        <v>0.5</v>
      </c>
      <c r="P3" s="34">
        <v>0.66666666666666663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Plotting</vt:lpstr>
      <vt:lpstr>SOP</vt:lpstr>
      <vt:lpstr>Server room threshold</vt:lpstr>
      <vt:lpstr>Schedule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H Bhanushali</dc:creator>
  <cp:lastModifiedBy>Krisha H Bhanushali</cp:lastModifiedBy>
  <dcterms:created xsi:type="dcterms:W3CDTF">2026-09-05T15:26:10Z</dcterms:created>
  <dcterms:modified xsi:type="dcterms:W3CDTF">2026-09-16T13:10:52Z</dcterms:modified>
</cp:coreProperties>
</file>