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-my.sharepoint.com/personal/sidharth_singh_in_ey_com/Documents/Documents/"/>
    </mc:Choice>
  </mc:AlternateContent>
  <xr:revisionPtr revIDLastSave="0" documentId="8_{B1B6C641-0286-418C-8DFE-50EA3FA803FC}" xr6:coauthVersionLast="47" xr6:coauthVersionMax="47" xr10:uidLastSave="{00000000-0000-0000-0000-000000000000}"/>
  <bookViews>
    <workbookView xWindow="-110" yWindow="-110" windowWidth="19420" windowHeight="11500" xr2:uid="{D46A7623-7773-458C-93A5-737F521C5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F222" i="1"/>
  <c r="G222" i="1" s="1"/>
  <c r="F221" i="1"/>
  <c r="G221" i="1" s="1"/>
  <c r="F220" i="1"/>
  <c r="G220" i="1" s="1"/>
  <c r="F219" i="1"/>
  <c r="G219" i="1" s="1"/>
  <c r="F218" i="1"/>
  <c r="G218" i="1" s="1"/>
  <c r="F217" i="1"/>
  <c r="G217" i="1" s="1"/>
  <c r="F216" i="1"/>
  <c r="G216" i="1" s="1"/>
  <c r="F215" i="1"/>
  <c r="G215" i="1" s="1"/>
  <c r="F214" i="1"/>
  <c r="G214" i="1" s="1"/>
  <c r="F213" i="1"/>
  <c r="G213" i="1" s="1"/>
  <c r="F212" i="1"/>
  <c r="G212" i="1" s="1"/>
  <c r="F211" i="1"/>
  <c r="G211" i="1" s="1"/>
  <c r="F210" i="1"/>
  <c r="G210" i="1" s="1"/>
  <c r="F209" i="1"/>
  <c r="G209" i="1" s="1"/>
  <c r="F208" i="1"/>
  <c r="G208" i="1" s="1"/>
  <c r="F207" i="1"/>
  <c r="G207" i="1" s="1"/>
  <c r="F206" i="1"/>
  <c r="G206" i="1" s="1"/>
  <c r="F205" i="1"/>
  <c r="G205" i="1" s="1"/>
  <c r="F204" i="1"/>
  <c r="G204" i="1" s="1"/>
  <c r="F203" i="1"/>
  <c r="G203" i="1" s="1"/>
  <c r="F202" i="1"/>
  <c r="G202" i="1" s="1"/>
  <c r="F201" i="1"/>
  <c r="G201" i="1" s="1"/>
  <c r="F200" i="1"/>
  <c r="G200" i="1" s="1"/>
  <c r="F199" i="1"/>
  <c r="G199" i="1" s="1"/>
  <c r="F198" i="1"/>
  <c r="G198" i="1" s="1"/>
  <c r="F197" i="1"/>
  <c r="G197" i="1" s="1"/>
  <c r="F196" i="1"/>
  <c r="G196" i="1" s="1"/>
  <c r="F195" i="1"/>
  <c r="G195" i="1" s="1"/>
  <c r="F194" i="1"/>
  <c r="G194" i="1" s="1"/>
  <c r="F193" i="1"/>
  <c r="G193" i="1" s="1"/>
  <c r="F192" i="1"/>
  <c r="G192" i="1" s="1"/>
  <c r="F191" i="1"/>
  <c r="G191" i="1" s="1"/>
  <c r="F190" i="1"/>
  <c r="G190" i="1" s="1"/>
  <c r="F189" i="1"/>
  <c r="G189" i="1" s="1"/>
  <c r="F188" i="1"/>
  <c r="G188" i="1" s="1"/>
  <c r="F187" i="1"/>
  <c r="G187" i="1" s="1"/>
  <c r="F186" i="1"/>
  <c r="G186" i="1" s="1"/>
  <c r="F185" i="1"/>
  <c r="G185" i="1" s="1"/>
  <c r="F184" i="1"/>
  <c r="G184" i="1" s="1"/>
  <c r="F183" i="1"/>
  <c r="G183" i="1" s="1"/>
  <c r="F182" i="1"/>
  <c r="G182" i="1" s="1"/>
  <c r="F181" i="1"/>
  <c r="G181" i="1" s="1"/>
  <c r="F180" i="1"/>
  <c r="G180" i="1" s="1"/>
  <c r="F179" i="1"/>
  <c r="G179" i="1" s="1"/>
  <c r="F178" i="1"/>
  <c r="G178" i="1" s="1"/>
  <c r="F177" i="1"/>
  <c r="G177" i="1" s="1"/>
  <c r="F176" i="1"/>
  <c r="G176" i="1" s="1"/>
  <c r="F175" i="1"/>
  <c r="G175" i="1" s="1"/>
  <c r="F174" i="1"/>
  <c r="G174" i="1" s="1"/>
  <c r="F173" i="1"/>
  <c r="G173" i="1" s="1"/>
  <c r="F172" i="1"/>
  <c r="G172" i="1" s="1"/>
  <c r="F171" i="1"/>
  <c r="G171" i="1" s="1"/>
  <c r="F170" i="1"/>
  <c r="G170" i="1" s="1"/>
  <c r="F169" i="1"/>
  <c r="G169" i="1" s="1"/>
  <c r="F168" i="1"/>
  <c r="G168" i="1" s="1"/>
  <c r="F167" i="1"/>
  <c r="G167" i="1" s="1"/>
  <c r="F166" i="1"/>
  <c r="G166" i="1" s="1"/>
  <c r="F165" i="1"/>
  <c r="G165" i="1" s="1"/>
  <c r="F164" i="1"/>
  <c r="G164" i="1" s="1"/>
  <c r="F163" i="1"/>
  <c r="G163" i="1" s="1"/>
  <c r="F162" i="1"/>
  <c r="G162" i="1" s="1"/>
  <c r="F161" i="1"/>
  <c r="G161" i="1" s="1"/>
  <c r="F160" i="1"/>
  <c r="G160" i="1" s="1"/>
  <c r="F159" i="1"/>
  <c r="G159" i="1" s="1"/>
  <c r="F158" i="1"/>
  <c r="G158" i="1" s="1"/>
  <c r="F157" i="1"/>
  <c r="G157" i="1" s="1"/>
  <c r="F156" i="1"/>
  <c r="G156" i="1" s="1"/>
  <c r="F155" i="1"/>
  <c r="G155" i="1" s="1"/>
  <c r="F154" i="1"/>
  <c r="G154" i="1" s="1"/>
  <c r="F153" i="1"/>
  <c r="G153" i="1" s="1"/>
  <c r="F152" i="1"/>
  <c r="G152" i="1" s="1"/>
  <c r="F151" i="1"/>
  <c r="G151" i="1" s="1"/>
  <c r="F150" i="1"/>
  <c r="G150" i="1" s="1"/>
  <c r="F149" i="1"/>
  <c r="G149" i="1" s="1"/>
  <c r="F148" i="1"/>
  <c r="G148" i="1" s="1"/>
  <c r="F147" i="1"/>
  <c r="G147" i="1" s="1"/>
  <c r="F146" i="1"/>
  <c r="G146" i="1" s="1"/>
  <c r="F145" i="1"/>
  <c r="G145" i="1" s="1"/>
  <c r="F144" i="1"/>
  <c r="G144" i="1" s="1"/>
  <c r="F143" i="1"/>
  <c r="G143" i="1" s="1"/>
  <c r="F142" i="1"/>
  <c r="G142" i="1" s="1"/>
  <c r="F141" i="1"/>
  <c r="G141" i="1" s="1"/>
  <c r="F140" i="1"/>
  <c r="G140" i="1" s="1"/>
  <c r="F139" i="1"/>
  <c r="G139" i="1" s="1"/>
  <c r="F138" i="1"/>
  <c r="G138" i="1" s="1"/>
  <c r="F137" i="1"/>
  <c r="G137" i="1" s="1"/>
  <c r="F136" i="1"/>
  <c r="G136" i="1" s="1"/>
  <c r="F135" i="1"/>
  <c r="G135" i="1" s="1"/>
  <c r="F134" i="1"/>
  <c r="G134" i="1" s="1"/>
  <c r="F133" i="1"/>
  <c r="G133" i="1" s="1"/>
  <c r="F132" i="1"/>
  <c r="G132" i="1" s="1"/>
  <c r="F131" i="1"/>
  <c r="G131" i="1" s="1"/>
  <c r="F130" i="1"/>
  <c r="G130" i="1" s="1"/>
  <c r="F129" i="1"/>
  <c r="G129" i="1" s="1"/>
  <c r="F128" i="1"/>
  <c r="G128" i="1" s="1"/>
  <c r="F127" i="1"/>
  <c r="G127" i="1" s="1"/>
  <c r="G126" i="1"/>
  <c r="F126" i="1"/>
  <c r="F125" i="1"/>
  <c r="G125" i="1" s="1"/>
  <c r="F124" i="1"/>
  <c r="G124" i="1" s="1"/>
  <c r="F123" i="1"/>
  <c r="G123" i="1" s="1"/>
  <c r="F122" i="1"/>
  <c r="G122" i="1" s="1"/>
  <c r="F121" i="1"/>
  <c r="G121" i="1" s="1"/>
  <c r="F120" i="1"/>
  <c r="G120" i="1" s="1"/>
  <c r="F119" i="1"/>
  <c r="G119" i="1" s="1"/>
  <c r="F118" i="1"/>
  <c r="G118" i="1" s="1"/>
  <c r="F117" i="1"/>
  <c r="G117" i="1" s="1"/>
  <c r="F116" i="1"/>
  <c r="G116" i="1" s="1"/>
  <c r="F115" i="1"/>
  <c r="G115" i="1" s="1"/>
  <c r="F114" i="1"/>
  <c r="G114" i="1" s="1"/>
  <c r="F113" i="1"/>
  <c r="G113" i="1" s="1"/>
  <c r="F112" i="1"/>
  <c r="G112" i="1" s="1"/>
  <c r="F111" i="1"/>
  <c r="G111" i="1" s="1"/>
  <c r="F110" i="1"/>
  <c r="G110" i="1" s="1"/>
  <c r="F109" i="1"/>
  <c r="G109" i="1" s="1"/>
  <c r="F108" i="1"/>
  <c r="G108" i="1" s="1"/>
  <c r="F107" i="1"/>
  <c r="G107" i="1" s="1"/>
  <c r="F106" i="1"/>
  <c r="G106" i="1" s="1"/>
  <c r="F105" i="1"/>
  <c r="G105" i="1" s="1"/>
  <c r="F104" i="1"/>
  <c r="G104" i="1" s="1"/>
  <c r="F103" i="1"/>
  <c r="G103" i="1" s="1"/>
  <c r="F102" i="1"/>
  <c r="G102" i="1" s="1"/>
  <c r="F101" i="1"/>
  <c r="G101" i="1" s="1"/>
  <c r="F100" i="1"/>
  <c r="G100" i="1" s="1"/>
  <c r="F99" i="1"/>
  <c r="G99" i="1" s="1"/>
  <c r="F98" i="1"/>
  <c r="G98" i="1" s="1"/>
  <c r="F97" i="1"/>
  <c r="G97" i="1" s="1"/>
  <c r="G96" i="1"/>
  <c r="F96" i="1"/>
  <c r="F95" i="1"/>
  <c r="G95" i="1" s="1"/>
  <c r="F94" i="1"/>
  <c r="G94" i="1" s="1"/>
  <c r="F93" i="1"/>
  <c r="G93" i="1" s="1"/>
  <c r="F92" i="1"/>
  <c r="G92" i="1" s="1"/>
  <c r="F91" i="1"/>
  <c r="G91" i="1" s="1"/>
  <c r="F90" i="1"/>
  <c r="G90" i="1" s="1"/>
  <c r="F89" i="1"/>
  <c r="G89" i="1" s="1"/>
  <c r="F88" i="1"/>
  <c r="G88" i="1" s="1"/>
  <c r="F87" i="1"/>
  <c r="G87" i="1" s="1"/>
  <c r="F86" i="1"/>
  <c r="G86" i="1" s="1"/>
  <c r="F85" i="1"/>
  <c r="G85" i="1" s="1"/>
  <c r="F84" i="1"/>
  <c r="G84" i="1" s="1"/>
  <c r="F83" i="1"/>
  <c r="G83" i="1" s="1"/>
  <c r="F82" i="1"/>
  <c r="G82" i="1" s="1"/>
  <c r="F81" i="1"/>
  <c r="G81" i="1" s="1"/>
  <c r="F80" i="1"/>
  <c r="G80" i="1" s="1"/>
  <c r="F79" i="1"/>
  <c r="G79" i="1" s="1"/>
  <c r="F78" i="1"/>
  <c r="G78" i="1" s="1"/>
  <c r="F77" i="1"/>
  <c r="G77" i="1" s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60" i="1"/>
  <c r="G60" i="1" s="1"/>
  <c r="F59" i="1"/>
  <c r="G59" i="1" s="1"/>
  <c r="F58" i="1"/>
  <c r="G58" i="1" s="1"/>
  <c r="F57" i="1"/>
  <c r="G57" i="1" s="1"/>
  <c r="F56" i="1"/>
  <c r="G56" i="1" s="1"/>
  <c r="F55" i="1"/>
  <c r="G55" i="1" s="1"/>
  <c r="F54" i="1"/>
  <c r="G54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G24" i="1"/>
  <c r="F24" i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2" i="1"/>
</calcChain>
</file>

<file path=xl/sharedStrings.xml><?xml version="1.0" encoding="utf-8"?>
<sst xmlns="http://schemas.openxmlformats.org/spreadsheetml/2006/main" count="450" uniqueCount="237">
  <si>
    <t>REGION</t>
  </si>
  <si>
    <t>TC CODE</t>
  </si>
  <si>
    <t>CENTRE NAME</t>
  </si>
  <si>
    <t>Exam Nodes</t>
  </si>
  <si>
    <t>Minimum Required</t>
  </si>
  <si>
    <t>Additional IT Manager</t>
  </si>
  <si>
    <t>Maximum Server Room Threshold</t>
  </si>
  <si>
    <t>CR</t>
  </si>
  <si>
    <t>AADARSH PARIKSHA KENDRA BHAGALPUR</t>
  </si>
  <si>
    <t>AADARSH PARIKSHA KENDRA CHHAPRA</t>
  </si>
  <si>
    <t>AADARSH PARIKSHA KENDRA DARBHANGA</t>
  </si>
  <si>
    <t>AADARSH PARIKSHA KENDRA GAYA</t>
  </si>
  <si>
    <t>AADARSH PARIKSHA KENDRA MUNGER</t>
  </si>
  <si>
    <t>AADARSH PARIKSHA KENDRA MUZAFFARPUR</t>
  </si>
  <si>
    <t>AADARSH PARIKSHA KENDRA SHASTRI NAGAR PATNA</t>
  </si>
  <si>
    <t>BAPU PARIKSHA PARISAR BLOCK-C</t>
  </si>
  <si>
    <t>AADARSH PARIKSHA KENDRA PURNIA</t>
  </si>
  <si>
    <t>AADARSH PARIKSHA KENDRA SAHARSA</t>
  </si>
  <si>
    <t>GR DIGITAL ZONE- AGRA</t>
  </si>
  <si>
    <t>LIFELINE ULTRACARE PVT LTD.</t>
  </si>
  <si>
    <t>RCLM DIGITAL ZONE</t>
  </si>
  <si>
    <t>SR EDUCATIONAL</t>
  </si>
  <si>
    <t>LAVISHA ONLINE AND TECHNICAL SERVICES</t>
  </si>
  <si>
    <t>ACME INSTITUTE OF MANAGEMENT &amp; TECHNOLOGY</t>
  </si>
  <si>
    <t>JK INFORMATICS (C/O JYOTI COLLEGE)</t>
  </si>
  <si>
    <t>SHIV GYAN INTER COLLEGE</t>
  </si>
  <si>
    <t>MAHARISHI IT INSTITUTE ONLINE EXAMINATION CENTER</t>
  </si>
  <si>
    <t>ST. ANDREWS COLLEGE</t>
  </si>
  <si>
    <t>BHAGAT SINGH ONLINE EXAMINATION CENTER</t>
  </si>
  <si>
    <t xml:space="preserve">MAHENDRA SINGH ARYA ONLINE EXAMINATION </t>
  </si>
  <si>
    <t>ALLEN INFORMATICS CENTER</t>
  </si>
  <si>
    <t>SMT. RAMKALI IQBAL BAHADUR (ONLINE CENTRE)</t>
  </si>
  <si>
    <t>EXAMINA INFOTECH</t>
  </si>
  <si>
    <t>SATYAM INSTITUTE OF EDUCATION AND TECHNOLOGY</t>
  </si>
  <si>
    <t>SHRI BALAJEE DEGREE COLLEGE</t>
  </si>
  <si>
    <t>WALTECH COLLEGE OF EDUCATION</t>
  </si>
  <si>
    <t>AADARSH PARIKSHA KENDRA - NOIDA - SECTOR 80</t>
  </si>
  <si>
    <t>DEV NANDAN EDUCATIONAL INSTITUTE</t>
  </si>
  <si>
    <t>NEXUS INSTITUTE OF TECHNOLOGY</t>
  </si>
  <si>
    <t>QUANTUM INSTITUTE OF TECHNOLOGY 
ONLINE EXAM CENTRE</t>
  </si>
  <si>
    <t>STAR EXAM ZONE</t>
  </si>
  <si>
    <t>UNIVERSAL DIGITAL ZONE</t>
  </si>
  <si>
    <t>COHERENT INFOR SOLUTIONS</t>
  </si>
  <si>
    <t>PURNODAY COMPUTER CENTER</t>
  </si>
  <si>
    <t>ER</t>
  </si>
  <si>
    <t>SWADHIN PORT BLAIR PVT. ITI</t>
  </si>
  <si>
    <t>TISSA TECHNOLOGY</t>
  </si>
  <si>
    <t>CRYSTAL IT SOLUTION ONLINE EXAM CENTER</t>
  </si>
  <si>
    <t>KALYANI INFOTECH</t>
  </si>
  <si>
    <t>K.D.S SOLUTION</t>
  </si>
  <si>
    <t>NOBEL SPHERE TECHNOLOGIES PVT LTD</t>
  </si>
  <si>
    <t>CAMBRIDGE INSTITUTE OF TECHNOLOGY</t>
  </si>
  <si>
    <t>CAPSTONE TECH ONLINE EXAMINATION CENTER</t>
  </si>
  <si>
    <t>IDEAL INTERNATIONAL SCHOOL</t>
  </si>
  <si>
    <t>LAXMI NARAYAN INNOVATIVE</t>
  </si>
  <si>
    <t>SANJAY MEMORIAL INSTITUTE OF TECHNOLOGY , DEGREE ENGINEERING COLLEGE</t>
  </si>
  <si>
    <t>SANJAY MEMORIAL INSTITUTE OF TECHNOLOGY DIPLOMA ENGINEERING</t>
  </si>
  <si>
    <t>MOUNT LITERA ZEE SCHOOL</t>
  </si>
  <si>
    <t>DEW NEXUS SOFT-TECH PRIVATE LIMITED</t>
  </si>
  <si>
    <t>M/S DASH ADVANCED ENGINEERING</t>
  </si>
  <si>
    <t>BAJIROUT INSTITUTE OF ENGINEERING &amp; TECHNOLOGY (BIET)</t>
  </si>
  <si>
    <t>SAI INSTITUTE OF TECHNOLOGY</t>
  </si>
  <si>
    <t>THE ORION SERVICE</t>
  </si>
  <si>
    <t>RIGHT TECH EXAMINATION CENTRE</t>
  </si>
  <si>
    <t>BIDYASAGAR INSTITUTE OF COMPUTER</t>
  </si>
  <si>
    <t>HOPE DIVYAKUNJ</t>
  </si>
  <si>
    <t>SANTINIKETAN POLYTECHNIC</t>
  </si>
  <si>
    <t>AMS INSTITUTE</t>
  </si>
  <si>
    <t>HDSM INFOTECH</t>
  </si>
  <si>
    <t>KAMAKHYA INSTITUTE OF EDUCATION</t>
  </si>
  <si>
    <t>PARC BEHALA COLLEGE</t>
  </si>
  <si>
    <t>PARC SUDHIR MEMORIAL INSTITUTE CENTRE-1</t>
  </si>
  <si>
    <t>SUNSHINE EXAM CENTRE</t>
  </si>
  <si>
    <t>UMANG INFOTECH</t>
  </si>
  <si>
    <t>UT ONLINE EXAM CENTRE</t>
  </si>
  <si>
    <t>LCG INSTITUTE OF POLYTECHNIC</t>
  </si>
  <si>
    <t>U. P. PUBLIC SCHOOL</t>
  </si>
  <si>
    <t>KKR</t>
  </si>
  <si>
    <t>GLOBAL IT SOLUTION TESTING CENTER</t>
  </si>
  <si>
    <t>BITBYTECH SOLUTIONS</t>
  </si>
  <si>
    <t>DIGIMETRICS</t>
  </si>
  <si>
    <t>ENEXT</t>
  </si>
  <si>
    <t>E-TALENT</t>
  </si>
  <si>
    <t>EDUTECH SOLUTIONS</t>
  </si>
  <si>
    <t>GLOBAL ASSESSMENT NETWORK PVT LTD.</t>
  </si>
  <si>
    <t>SHETTY INSTITUTE OF TECHNOLOGIES</t>
  </si>
  <si>
    <t>SRI SHARADA NIKETHANA INSTITUTE OF TRAINING AND ONLINE EXAM CENTER</t>
  </si>
  <si>
    <t>CHANDANA RESOURCE CENTER, TECH CAREERS</t>
  </si>
  <si>
    <t>EAGER BEAVER SOLUTIONS</t>
  </si>
  <si>
    <t>PATH ORIENTED EXAMINATION CENTRE</t>
  </si>
  <si>
    <t>CARMEL POLYTECHNIC COLLEGE</t>
  </si>
  <si>
    <t>EDU MORGAN – SREE SANKARA VIDYAPEETOM COLLEGE CAMPUS</t>
  </si>
  <si>
    <t>SWEAR ONLINE ASSESMENT CENTER</t>
  </si>
  <si>
    <t>KANNUR ONLINE ASSESSMENT CENTRE</t>
  </si>
  <si>
    <t>TRAVANCORE ENGINEERING COLLEGE</t>
  </si>
  <si>
    <t>VALIA KOONAMBAIKULATHAMMA COLLEGE OF ENGINEERING &amp; TECHNOLOGY</t>
  </si>
  <si>
    <t>AMARJYOTHY ONLINE EXAM CENTER</t>
  </si>
  <si>
    <t>MUDRA INSTITUTE OF ASSESSMENT</t>
  </si>
  <si>
    <t>WELKIN ONLINE ASSESSMENT CENTRE</t>
  </si>
  <si>
    <t>REGIONAL EDU CITY</t>
  </si>
  <si>
    <t>EXATECH</t>
  </si>
  <si>
    <t>G20 EDU HUB</t>
  </si>
  <si>
    <t>MUSLIM ASSOCIATION COLLEGE OF ENGINEERING</t>
  </si>
  <si>
    <t>JYOTHI TECHNOLOGIES</t>
  </si>
  <si>
    <t>DR. B.R. AMBEDKAR GOVERNMENT ITI</t>
  </si>
  <si>
    <t>MPR</t>
  </si>
  <si>
    <t>E-CITY CENTER</t>
  </si>
  <si>
    <t>KRISHNA ENGINEERING COLLEGE</t>
  </si>
  <si>
    <t>PARTHIVI COLLEGE OF DIGITAL ZONE</t>
  </si>
  <si>
    <t>IES CONSULTANCY SERVICES CENTRE-2</t>
  </si>
  <si>
    <t>MADAN MAHARAJ COLLEGE</t>
  </si>
  <si>
    <t>SARDAR AJIT SINGH SMRITI AYURVED MAHAVIDYALAYA (SAM COLLEGE)</t>
  </si>
  <si>
    <t>INDORE INTERNATIONAL COLLEGE</t>
  </si>
  <si>
    <t>IPS DIGITAL CENTRE II</t>
  </si>
  <si>
    <t>LIBERAL COLLEGE</t>
  </si>
  <si>
    <t>NACHIKETA INSTITUTE OF MANAGEMENT &amp; INFORMATION TECHNOLOGY</t>
  </si>
  <si>
    <t>SARASWATI INSTITUTE OF ENGINEERING AND TECHNOLOGY</t>
  </si>
  <si>
    <t>DPS PRIVATE ITI (SLS)</t>
  </si>
  <si>
    <t>SHRI GURU SANDIPANI INSTITUTE OF TECHNOLOGY AND SCIENCE</t>
  </si>
  <si>
    <t>NER</t>
  </si>
  <si>
    <t>HIMALAYAN UNIVERSITY</t>
  </si>
  <si>
    <t>DIGITAL LOUNGE-2, DIBRUGARH UNIVERSITY</t>
  </si>
  <si>
    <t>ANTILIA ONLINE EXAM CENTER</t>
  </si>
  <si>
    <t>COMPUTER PRO</t>
  </si>
  <si>
    <t>GUWAHATI ONLINE EXAM CENTRE</t>
  </si>
  <si>
    <t>STUDYLINK ACADEMY ONLINE EXAMINATION CENTRE</t>
  </si>
  <si>
    <t>NORTHEAST INFOSYS</t>
  </si>
  <si>
    <t>JANATA COLLEGE</t>
  </si>
  <si>
    <t>SS INFOTECH</t>
  </si>
  <si>
    <t>CHURACHANDPUR GOVT. COLLEGE - IT CENTRE</t>
  </si>
  <si>
    <t>ORION ACADEMY</t>
  </si>
  <si>
    <t>MANIPUR IT CENTRE, UKHRUL</t>
  </si>
  <si>
    <t>RAMAKRISHNA MISSION VIVEKANANDA CULTURAL CENTRE</t>
  </si>
  <si>
    <t>AGAPE COMPUTER INSTITUTE</t>
  </si>
  <si>
    <t>HMC HIGH SCHOOL</t>
  </si>
  <si>
    <t xml:space="preserve">SRI SRI DIVINE SERVICE </t>
  </si>
  <si>
    <t>THE COMPUTER POINT</t>
  </si>
  <si>
    <t>NR</t>
  </si>
  <si>
    <t>ANAND INTERNATIONAL COLLEGE OF ENGINEERING</t>
  </si>
  <si>
    <t>GLOBAL INSTITUTE OF TECHNOLOGY (GIT)</t>
  </si>
  <si>
    <t>MM QUEENS COLLEGE JAIPUR</t>
  </si>
  <si>
    <t>RAJASTHAN COLLEGE OF ENGINEERING FOR WOMEN</t>
  </si>
  <si>
    <t>SHRI BHAWANI NIKETAN INSTITUTE OF TECHNOLOGY AND MANAGEMENT</t>
  </si>
  <si>
    <t>HORIZON TECHNOLOGIES</t>
  </si>
  <si>
    <t>BHAWANI NIKETAN SCHOOL</t>
  </si>
  <si>
    <t>SAVITRIBAI PHULE MAHILA SHIKSHAN PRASHIKSHAN MAHAVIDYALAYA</t>
  </si>
  <si>
    <t>SHREE MADANLAL BIYANI GIRLS ADARSH VIDYA MANDIR SCHOOL</t>
  </si>
  <si>
    <t>AADARSH PARIKSHA KENDRA - NOIDA - SECTOR 155</t>
  </si>
  <si>
    <t>351603_1</t>
  </si>
  <si>
    <t>DD COLLEGE</t>
  </si>
  <si>
    <t>OXFORD SCHOOL OF EXCELLENCE</t>
  </si>
  <si>
    <t>JAI ARIHANT GROUP OF INSTITUTIONS</t>
  </si>
  <si>
    <t>INSTITUTE OF TECHNOLOGY ROORKEE</t>
  </si>
  <si>
    <t>NWR</t>
  </si>
  <si>
    <t>R K DIGITAL COMPUTER- CENTRE 2</t>
  </si>
  <si>
    <t>GIAN JYOTI INSTITUTION OF BACHELOR EDUCATION</t>
  </si>
  <si>
    <t>SHIMLA PAREEKSHA KENDRA</t>
  </si>
  <si>
    <t>JAMMU ONLINE SERVICES</t>
  </si>
  <si>
    <t>SPRING BUDS EDUCATIONAL INSTITUTE</t>
  </si>
  <si>
    <t>THE DISTRICT EMPLOYEMENT AND COUNSELLING CENTRE LEH.</t>
  </si>
  <si>
    <t>VI-VA INNOVATIONS-BATHINDA</t>
  </si>
  <si>
    <t>VI-VA INNOVATIONS- LUDHIANA</t>
  </si>
  <si>
    <t>AANJANEY ONLINE EXAMINATION CENTRE MOHALI</t>
  </si>
  <si>
    <t>LAMRIN TECH SKILLS UNIVERSITY</t>
  </si>
  <si>
    <t>DCS ONLINE EXAM CENTER</t>
  </si>
  <si>
    <t>SR</t>
  </si>
  <si>
    <t>HELAPURI INSTITUTE OF TECHNOLOGY AND SCIENCE</t>
  </si>
  <si>
    <t>LOYOLA INSTITUTE OF TECHNOLOGY AND MANAGEMENT (LITAM)</t>
  </si>
  <si>
    <t>PRIYADARSHINI INSTITUTE OF TECHNOLOGY AND MANAGEMENT</t>
  </si>
  <si>
    <t>SOFT TECHNOLOGIES PVT LTD</t>
  </si>
  <si>
    <t>UNIDAD TECHNOLOGIES &amp; SERVICES PVT LTD</t>
  </si>
  <si>
    <t>RAOS SCHOOL OF BUSINESS AND TECHNOLOGY</t>
  </si>
  <si>
    <t>GSR ONLINE ACADEMY</t>
  </si>
  <si>
    <t>SAHASTRA DIGITAL</t>
  </si>
  <si>
    <t>AIM TECHNOLOGIES</t>
  </si>
  <si>
    <t>K.M.M INSTITUTE OF TECHNOLOGY AND SCIENCE (KMM COLLEGES) (ICON LABS)</t>
  </si>
  <si>
    <t>SPARK TECHNOLOGIES</t>
  </si>
  <si>
    <t>BEHARA COLLEGE OF ENGINEERING &amp; TECHNOLOGY</t>
  </si>
  <si>
    <t>LAXMIKANTH INDUSTRIAL TRAINING CENTRE (ITC</t>
  </si>
  <si>
    <t>SVS TECHNOLOGY AND SOLUTIONS</t>
  </si>
  <si>
    <t>GKM COLLEGE OF ENGINEERING AND TECHNOLOGY</t>
  </si>
  <si>
    <t>MOHAMED SATHAK COLLEGE OF ARTS AND SCIENCE</t>
  </si>
  <si>
    <t>PRAGYA TECHNOLOGIES</t>
  </si>
  <si>
    <t>THIRU SEVEN HILLS POLYTECHNIC COLLEGE</t>
  </si>
  <si>
    <t>AMBAL PROFESSIONAL GROUP OF INSTITUTION</t>
  </si>
  <si>
    <t>COIMBATORE INSTITUTE OF ENGINEERING AND TECHNOLOGY</t>
  </si>
  <si>
    <t>GT ASSESS HUB</t>
  </si>
  <si>
    <t>ADHIYAMAAN COLLEGE OF AGRICULTURE AND RESEARCH</t>
  </si>
  <si>
    <t>NAGARATHINAM ANGALAMMAL ARTS &amp; SCIENCE COLLEGE</t>
  </si>
  <si>
    <t>SENTHAMARAI COLLEGE OF ARTS AND SCIENCE</t>
  </si>
  <si>
    <t>MAYURAM INFOTECH</t>
  </si>
  <si>
    <t>VSA GROUP OF INSTITUTIONS</t>
  </si>
  <si>
    <t>NEXT STEP ACADEMY SOLUTIONS</t>
  </si>
  <si>
    <t>HELFEN INFRA</t>
  </si>
  <si>
    <t>ANBU EXAM CENTER</t>
  </si>
  <si>
    <t>NEHRU MEMORIAL COLLEGE (PUTHANAMPATTI)</t>
  </si>
  <si>
    <t>SESHASAYEE INSTITUTE OF TECHNOLOGY</t>
  </si>
  <si>
    <t>THANTHAI PERIYAR GOVERNMENT INSTITUTE OF TECHNOLOGY</t>
  </si>
  <si>
    <t>CIOS DIGITALS</t>
  </si>
  <si>
    <t>DIGITAL EXAMINATION CENTER</t>
  </si>
  <si>
    <t>KPM TECHNOLOGIES AND SOLUTIONS</t>
  </si>
  <si>
    <t>LAXMAN IT ACADEMY</t>
  </si>
  <si>
    <t>NMS TECHNOLOGY</t>
  </si>
  <si>
    <t>TSRI TECHNOLOGY</t>
  </si>
  <si>
    <t>INNOVISION TECHNOLOGIES</t>
  </si>
  <si>
    <t>MANPOWER DEVELOPMENT COLLEGE</t>
  </si>
  <si>
    <t>VERITAS &amp; VIRTUS ENGINEERING SERVICES PVT. LTD.</t>
  </si>
  <si>
    <t>MOKSHITH COMPUTERS</t>
  </si>
  <si>
    <t>SRI GAAYATHRI DEGREE COLLEGE</t>
  </si>
  <si>
    <t>WR</t>
  </si>
  <si>
    <t>GOA PARIKSHA KENDRA</t>
  </si>
  <si>
    <t>AMS ONLINE EXAM CENTRE ( BAPU GKV)</t>
  </si>
  <si>
    <t>FUTURE INFOTECH</t>
  </si>
  <si>
    <t>SHREE RAM EXAM CENTER</t>
  </si>
  <si>
    <t>TRIDENT SPACES</t>
  </si>
  <si>
    <t>MADHAV INFOTECH AMRAVATI</t>
  </si>
  <si>
    <t>WINNING HUB</t>
  </si>
  <si>
    <t>GOVERNMENT POLYTECHNIC, CHHATRAPATI SAMBHAJI NAGAR</t>
  </si>
  <si>
    <t>GODAVARI COLLEGE OF ENGINEERING ONLINE EXAM CENTER JALGAON</t>
  </si>
  <si>
    <t>YASHODA EDUCATION EXAM CENTRE</t>
  </si>
  <si>
    <t>ELPHINSTONE COLLEGE</t>
  </si>
  <si>
    <t>INFO SPARK</t>
  </si>
  <si>
    <t>SYDENHAM COLLEGE OF COMMERCE AND ECONOMICS</t>
  </si>
  <si>
    <t>THADOMAL SHAHANI ENGINEERING COLLEGE, MUMBAI</t>
  </si>
  <si>
    <t>VEERMATA JIJABAI TECHNOLOGICAL COLLEGE ( VJTI)</t>
  </si>
  <si>
    <t>INSTITUTE OF SCIENCE, NAGPUR</t>
  </si>
  <si>
    <t>VIDYA COMPUTERS</t>
  </si>
  <si>
    <t>VMV COMMERCE JMT ARTS &amp; JJP SCIENCE COLLEGE</t>
  </si>
  <si>
    <t>GOVERNMENT POLYTECHNIC, NANDED</t>
  </si>
  <si>
    <t>VASANTARAO NAIK INSTITUTE OF TECHNOLOGY,VASARANI NANDED</t>
  </si>
  <si>
    <t>PUNE VIDYARTHI GRIHAS COLLEGE OF ENGINEERING</t>
  </si>
  <si>
    <t>BERRY COMPS ONLINE EXAM CENTER</t>
  </si>
  <si>
    <t>G. H. RAISONI INTERNATIONAL SKILL TECH UNIVERSITY, PUNE</t>
  </si>
  <si>
    <t>GOVERNMENT COLLEGE OF ENGINEERING &amp; RESEARCH AVASARI ,PUNE</t>
  </si>
  <si>
    <t>GOVERNMENT POLYTECHNIC AWASARI (KHURD)</t>
  </si>
  <si>
    <t>GOVERNMENT POLYTECHNIC, PUNE</t>
  </si>
  <si>
    <t>SAI ASHIRWAD TESTZONE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</si>
</sst>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EYInterstate Light"/>
    </font>
    <font>
      <sz val="10"/>
      <color theme="1"/>
      <name val="EYInterstate Light"/>
    </font>
    <font>
      <b/>
      <sz val="10"/>
      <color rgb="FF002060"/>
      <name val="EYInterstate Light"/>
    </font>
    <font>
      <b/>
      <sz val="10"/>
      <color rgb="FF000000"/>
      <name val="EYInterstate Light"/>
    </font>
  </fonts>
  <fills count="3">
    <fill>
      <patternFill patternType="none"/>
    </fill>
    <fill>
      <patternFill patternType="gray125"/>
    </fill>
    <fill>
      <patternFill patternType="solid">
        <fgColor rgb="FFFFE7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58"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93C47D"/>
          <bgColor rgb="FF93C47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19B7-084C-47E5-AA04-0938DD263CFB}">
  <dimension ref="A1:G222"/>
  <sheetViews>
    <sheetView showGridLines="0" tabSelected="1" workbookViewId="0">
      <selection activeCell="B1" sqref="B1"/>
    </sheetView>
  </sheetViews>
  <sheetFormatPr defaultRowHeight="14.5" x14ac:dyDescent="0.35"/>
  <cols>
    <col min="1" max="1" width="8.453125" bestFit="1" customWidth="1"/>
    <col min="2" max="2" width="57.7265625" bestFit="1" customWidth="1"/>
    <col min="3" max="3" width="6.1796875" bestFit="1" customWidth="1"/>
    <col min="4" max="4" width="6.1796875" hidden="1" customWidth="1"/>
    <col min="5" max="5" width="16.453125" hidden="1" customWidth="1"/>
    <col min="6" max="6" width="19.26953125" hidden="1" customWidth="1"/>
    <col min="7" max="7" width="29.453125" bestFit="1" customWidth="1"/>
  </cols>
  <sheetData>
    <row r="1" spans="1:7" ht="28" x14ac:dyDescent="0.3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>
        <v>50106</v>
      </c>
      <c r="B2" s="6" t="s">
        <v>8</v>
      </c>
      <c r="C2" s="5" t="s">
        <v>7</v>
      </c>
      <c r="D2" s="4">
        <v>1052</v>
      </c>
      <c r="E2" s="2">
        <v>4</v>
      </c>
      <c r="F2" s="3">
        <f>D2/150</f>
        <v>7.0133333333333336</v>
      </c>
      <c r="G2" s="3">
        <f>E2+F2</f>
        <v>11.013333333333334</v>
      </c>
    </row>
    <row r="3" spans="1:7" x14ac:dyDescent="0.35">
      <c r="A3" s="4">
        <v>50204</v>
      </c>
      <c r="B3" s="6" t="s">
        <v>9</v>
      </c>
      <c r="C3" s="5" t="s">
        <v>7</v>
      </c>
      <c r="D3" s="4">
        <v>562</v>
      </c>
      <c r="E3" s="2">
        <v>4</v>
      </c>
      <c r="F3" s="3">
        <f t="shared" ref="F3:F66" si="0">D3/150</f>
        <v>3.7466666666666666</v>
      </c>
      <c r="G3" s="3">
        <f t="shared" ref="G3:G66" si="1">E3+F3</f>
        <v>7.7466666666666661</v>
      </c>
    </row>
    <row r="4" spans="1:7" x14ac:dyDescent="0.35">
      <c r="A4" s="4">
        <v>50302</v>
      </c>
      <c r="B4" s="6" t="s">
        <v>10</v>
      </c>
      <c r="C4" s="5" t="s">
        <v>7</v>
      </c>
      <c r="D4" s="4">
        <v>1052</v>
      </c>
      <c r="E4" s="2">
        <v>4</v>
      </c>
      <c r="F4" s="3">
        <f t="shared" si="0"/>
        <v>7.0133333333333336</v>
      </c>
      <c r="G4" s="3">
        <f t="shared" si="1"/>
        <v>11.013333333333334</v>
      </c>
    </row>
    <row r="5" spans="1:7" x14ac:dyDescent="0.35">
      <c r="A5" s="4">
        <v>50410</v>
      </c>
      <c r="B5" s="6" t="s">
        <v>11</v>
      </c>
      <c r="C5" s="5" t="s">
        <v>7</v>
      </c>
      <c r="D5" s="4">
        <v>1052</v>
      </c>
      <c r="E5" s="2">
        <v>4</v>
      </c>
      <c r="F5" s="3">
        <f t="shared" si="0"/>
        <v>7.0133333333333336</v>
      </c>
      <c r="G5" s="3">
        <f t="shared" si="1"/>
        <v>11.013333333333334</v>
      </c>
    </row>
    <row r="6" spans="1:7" x14ac:dyDescent="0.35">
      <c r="A6" s="4">
        <v>50501</v>
      </c>
      <c r="B6" s="6" t="s">
        <v>12</v>
      </c>
      <c r="C6" s="5" t="s">
        <v>7</v>
      </c>
      <c r="D6" s="4">
        <v>558</v>
      </c>
      <c r="E6" s="2">
        <v>4</v>
      </c>
      <c r="F6" s="3">
        <f t="shared" si="0"/>
        <v>3.72</v>
      </c>
      <c r="G6" s="3">
        <f t="shared" si="1"/>
        <v>7.7200000000000006</v>
      </c>
    </row>
    <row r="7" spans="1:7" x14ac:dyDescent="0.35">
      <c r="A7" s="4">
        <v>50606</v>
      </c>
      <c r="B7" s="6" t="s">
        <v>13</v>
      </c>
      <c r="C7" s="5" t="s">
        <v>7</v>
      </c>
      <c r="D7" s="4">
        <v>1052</v>
      </c>
      <c r="E7" s="2">
        <v>4</v>
      </c>
      <c r="F7" s="3">
        <f t="shared" si="0"/>
        <v>7.0133333333333336</v>
      </c>
      <c r="G7" s="3">
        <f t="shared" si="1"/>
        <v>11.013333333333334</v>
      </c>
    </row>
    <row r="8" spans="1:7" x14ac:dyDescent="0.35">
      <c r="A8" s="4">
        <v>50701</v>
      </c>
      <c r="B8" s="6" t="s">
        <v>14</v>
      </c>
      <c r="C8" s="5" t="s">
        <v>7</v>
      </c>
      <c r="D8" s="4">
        <v>1052</v>
      </c>
      <c r="E8" s="2">
        <v>4</v>
      </c>
      <c r="F8" s="3">
        <f t="shared" si="0"/>
        <v>7.0133333333333336</v>
      </c>
      <c r="G8" s="3">
        <f t="shared" si="1"/>
        <v>11.013333333333334</v>
      </c>
    </row>
    <row r="9" spans="1:7" x14ac:dyDescent="0.35">
      <c r="A9" s="4">
        <v>50737</v>
      </c>
      <c r="B9" s="6" t="s">
        <v>15</v>
      </c>
      <c r="C9" s="5" t="s">
        <v>7</v>
      </c>
      <c r="D9" s="4">
        <v>2686</v>
      </c>
      <c r="E9" s="2">
        <v>4</v>
      </c>
      <c r="F9" s="3">
        <f t="shared" si="0"/>
        <v>17.906666666666666</v>
      </c>
      <c r="G9" s="3">
        <f t="shared" si="1"/>
        <v>21.906666666666666</v>
      </c>
    </row>
    <row r="10" spans="1:7" x14ac:dyDescent="0.35">
      <c r="A10" s="4">
        <v>50801</v>
      </c>
      <c r="B10" s="6" t="s">
        <v>16</v>
      </c>
      <c r="C10" s="5" t="s">
        <v>7</v>
      </c>
      <c r="D10" s="4">
        <v>576</v>
      </c>
      <c r="E10" s="2">
        <v>4</v>
      </c>
      <c r="F10" s="3">
        <f t="shared" si="0"/>
        <v>3.84</v>
      </c>
      <c r="G10" s="3">
        <f t="shared" si="1"/>
        <v>7.84</v>
      </c>
    </row>
    <row r="11" spans="1:7" x14ac:dyDescent="0.35">
      <c r="A11" s="4">
        <v>50901</v>
      </c>
      <c r="B11" s="6" t="s">
        <v>17</v>
      </c>
      <c r="C11" s="5" t="s">
        <v>7</v>
      </c>
      <c r="D11" s="4">
        <v>576</v>
      </c>
      <c r="E11" s="2">
        <v>4</v>
      </c>
      <c r="F11" s="3">
        <f t="shared" si="0"/>
        <v>3.84</v>
      </c>
      <c r="G11" s="3">
        <f t="shared" si="1"/>
        <v>7.84</v>
      </c>
    </row>
    <row r="12" spans="1:7" x14ac:dyDescent="0.35">
      <c r="A12" s="4">
        <v>350112</v>
      </c>
      <c r="B12" s="6" t="s">
        <v>18</v>
      </c>
      <c r="C12" s="5" t="s">
        <v>7</v>
      </c>
      <c r="D12" s="4">
        <v>207</v>
      </c>
      <c r="E12" s="2">
        <v>4</v>
      </c>
      <c r="F12" s="3">
        <f t="shared" si="0"/>
        <v>1.38</v>
      </c>
      <c r="G12" s="3">
        <f t="shared" si="1"/>
        <v>5.38</v>
      </c>
    </row>
    <row r="13" spans="1:7" x14ac:dyDescent="0.35">
      <c r="A13" s="4">
        <v>350108</v>
      </c>
      <c r="B13" s="6" t="s">
        <v>19</v>
      </c>
      <c r="C13" s="5" t="s">
        <v>7</v>
      </c>
      <c r="D13" s="4">
        <v>189</v>
      </c>
      <c r="E13" s="2">
        <v>4</v>
      </c>
      <c r="F13" s="3">
        <f t="shared" si="0"/>
        <v>1.26</v>
      </c>
      <c r="G13" s="3">
        <f t="shared" si="1"/>
        <v>5.26</v>
      </c>
    </row>
    <row r="14" spans="1:7" x14ac:dyDescent="0.35">
      <c r="A14" s="4">
        <v>350106</v>
      </c>
      <c r="B14" s="6" t="s">
        <v>20</v>
      </c>
      <c r="C14" s="5" t="s">
        <v>7</v>
      </c>
      <c r="D14" s="4">
        <v>171</v>
      </c>
      <c r="E14" s="2">
        <v>4</v>
      </c>
      <c r="F14" s="3">
        <f t="shared" si="0"/>
        <v>1.1399999999999999</v>
      </c>
      <c r="G14" s="3">
        <f t="shared" si="1"/>
        <v>5.14</v>
      </c>
    </row>
    <row r="15" spans="1:7" x14ac:dyDescent="0.35">
      <c r="A15" s="4">
        <v>350105</v>
      </c>
      <c r="B15" s="6" t="s">
        <v>21</v>
      </c>
      <c r="C15" s="5" t="s">
        <v>7</v>
      </c>
      <c r="D15" s="4">
        <v>194</v>
      </c>
      <c r="E15" s="2">
        <v>4</v>
      </c>
      <c r="F15" s="3">
        <f t="shared" si="0"/>
        <v>1.2933333333333332</v>
      </c>
      <c r="G15" s="3">
        <f t="shared" si="1"/>
        <v>5.293333333333333</v>
      </c>
    </row>
    <row r="16" spans="1:7" x14ac:dyDescent="0.35">
      <c r="A16" s="4">
        <v>350113</v>
      </c>
      <c r="B16" s="6" t="s">
        <v>22</v>
      </c>
      <c r="C16" s="5" t="s">
        <v>7</v>
      </c>
      <c r="D16" s="4">
        <v>300</v>
      </c>
      <c r="E16" s="2">
        <v>4</v>
      </c>
      <c r="F16" s="3">
        <f t="shared" si="0"/>
        <v>2</v>
      </c>
      <c r="G16" s="3">
        <f t="shared" si="1"/>
        <v>6</v>
      </c>
    </row>
    <row r="17" spans="1:7" x14ac:dyDescent="0.35">
      <c r="A17" s="4">
        <v>350301</v>
      </c>
      <c r="B17" s="6" t="s">
        <v>23</v>
      </c>
      <c r="C17" s="5" t="s">
        <v>7</v>
      </c>
      <c r="D17" s="4">
        <v>360</v>
      </c>
      <c r="E17" s="2">
        <v>4</v>
      </c>
      <c r="F17" s="3">
        <f t="shared" si="0"/>
        <v>2.4</v>
      </c>
      <c r="G17" s="3">
        <f t="shared" si="1"/>
        <v>6.4</v>
      </c>
    </row>
    <row r="18" spans="1:7" x14ac:dyDescent="0.35">
      <c r="A18" s="4">
        <v>350308</v>
      </c>
      <c r="B18" s="6" t="s">
        <v>24</v>
      </c>
      <c r="C18" s="5" t="s">
        <v>7</v>
      </c>
      <c r="D18" s="4">
        <v>199</v>
      </c>
      <c r="E18" s="2">
        <v>4</v>
      </c>
      <c r="F18" s="3">
        <f t="shared" si="0"/>
        <v>1.3266666666666667</v>
      </c>
      <c r="G18" s="3">
        <f t="shared" si="1"/>
        <v>5.3266666666666662</v>
      </c>
    </row>
    <row r="19" spans="1:7" x14ac:dyDescent="0.35">
      <c r="A19" s="4">
        <v>350303</v>
      </c>
      <c r="B19" s="6" t="s">
        <v>25</v>
      </c>
      <c r="C19" s="5" t="s">
        <v>7</v>
      </c>
      <c r="D19" s="4">
        <v>198</v>
      </c>
      <c r="E19" s="2">
        <v>4</v>
      </c>
      <c r="F19" s="3">
        <f t="shared" si="0"/>
        <v>1.32</v>
      </c>
      <c r="G19" s="3">
        <f t="shared" si="1"/>
        <v>5.32</v>
      </c>
    </row>
    <row r="20" spans="1:7" x14ac:dyDescent="0.35">
      <c r="A20" s="4">
        <v>350505</v>
      </c>
      <c r="B20" s="6" t="s">
        <v>26</v>
      </c>
      <c r="C20" s="5" t="s">
        <v>7</v>
      </c>
      <c r="D20" s="4">
        <v>149</v>
      </c>
      <c r="E20" s="2">
        <v>4</v>
      </c>
      <c r="F20" s="3">
        <f t="shared" si="0"/>
        <v>0.99333333333333329</v>
      </c>
      <c r="G20" s="3">
        <f t="shared" si="1"/>
        <v>4.9933333333333332</v>
      </c>
    </row>
    <row r="21" spans="1:7" x14ac:dyDescent="0.35">
      <c r="A21" s="4">
        <v>350511</v>
      </c>
      <c r="B21" s="6" t="s">
        <v>27</v>
      </c>
      <c r="C21" s="5" t="s">
        <v>7</v>
      </c>
      <c r="D21" s="4">
        <v>243</v>
      </c>
      <c r="E21" s="2">
        <v>4</v>
      </c>
      <c r="F21" s="3">
        <f t="shared" si="0"/>
        <v>1.62</v>
      </c>
      <c r="G21" s="3">
        <f t="shared" si="1"/>
        <v>5.62</v>
      </c>
    </row>
    <row r="22" spans="1:7" x14ac:dyDescent="0.35">
      <c r="A22" s="4">
        <v>350502</v>
      </c>
      <c r="B22" s="7" t="s">
        <v>28</v>
      </c>
      <c r="C22" s="5" t="s">
        <v>7</v>
      </c>
      <c r="D22" s="4">
        <v>190</v>
      </c>
      <c r="E22" s="2">
        <v>4</v>
      </c>
      <c r="F22" s="3">
        <f t="shared" si="0"/>
        <v>1.2666666666666666</v>
      </c>
      <c r="G22" s="3">
        <f t="shared" si="1"/>
        <v>5.2666666666666666</v>
      </c>
    </row>
    <row r="23" spans="1:7" x14ac:dyDescent="0.35">
      <c r="A23" s="4">
        <v>350608</v>
      </c>
      <c r="B23" s="6" t="s">
        <v>29</v>
      </c>
      <c r="C23" s="5" t="s">
        <v>7</v>
      </c>
      <c r="D23" s="4">
        <v>400</v>
      </c>
      <c r="E23" s="2">
        <v>4</v>
      </c>
      <c r="F23" s="3">
        <f t="shared" si="0"/>
        <v>2.6666666666666665</v>
      </c>
      <c r="G23" s="3">
        <f t="shared" si="1"/>
        <v>6.6666666666666661</v>
      </c>
    </row>
    <row r="24" spans="1:7" x14ac:dyDescent="0.35">
      <c r="A24" s="4">
        <v>350713</v>
      </c>
      <c r="B24" s="6" t="s">
        <v>30</v>
      </c>
      <c r="C24" s="5" t="s">
        <v>7</v>
      </c>
      <c r="D24" s="4">
        <v>430</v>
      </c>
      <c r="E24" s="2">
        <v>4</v>
      </c>
      <c r="F24" s="3">
        <f t="shared" si="0"/>
        <v>2.8666666666666667</v>
      </c>
      <c r="G24" s="3">
        <f t="shared" si="1"/>
        <v>6.8666666666666671</v>
      </c>
    </row>
    <row r="25" spans="1:7" x14ac:dyDescent="0.35">
      <c r="A25" s="4">
        <v>350705</v>
      </c>
      <c r="B25" s="6" t="s">
        <v>31</v>
      </c>
      <c r="C25" s="5" t="s">
        <v>7</v>
      </c>
      <c r="D25" s="4">
        <v>351</v>
      </c>
      <c r="E25" s="2">
        <v>4</v>
      </c>
      <c r="F25" s="3">
        <f t="shared" si="0"/>
        <v>2.34</v>
      </c>
      <c r="G25" s="3">
        <f t="shared" si="1"/>
        <v>6.34</v>
      </c>
    </row>
    <row r="26" spans="1:7" x14ac:dyDescent="0.35">
      <c r="A26" s="4">
        <v>350822</v>
      </c>
      <c r="B26" s="6" t="s">
        <v>32</v>
      </c>
      <c r="C26" s="5" t="s">
        <v>7</v>
      </c>
      <c r="D26" s="4">
        <v>400</v>
      </c>
      <c r="E26" s="2">
        <v>4</v>
      </c>
      <c r="F26" s="3">
        <f t="shared" si="0"/>
        <v>2.6666666666666665</v>
      </c>
      <c r="G26" s="3">
        <f t="shared" si="1"/>
        <v>6.6666666666666661</v>
      </c>
    </row>
    <row r="27" spans="1:7" x14ac:dyDescent="0.35">
      <c r="A27" s="4">
        <v>350908</v>
      </c>
      <c r="B27" s="6" t="s">
        <v>33</v>
      </c>
      <c r="C27" s="5" t="s">
        <v>7</v>
      </c>
      <c r="D27" s="4">
        <v>342</v>
      </c>
      <c r="E27" s="2">
        <v>4</v>
      </c>
      <c r="F27" s="3">
        <f t="shared" si="0"/>
        <v>2.2799999999999998</v>
      </c>
      <c r="G27" s="3">
        <f t="shared" si="1"/>
        <v>6.2799999999999994</v>
      </c>
    </row>
    <row r="28" spans="1:7" x14ac:dyDescent="0.35">
      <c r="A28" s="4">
        <v>350909</v>
      </c>
      <c r="B28" s="6" t="s">
        <v>34</v>
      </c>
      <c r="C28" s="5" t="s">
        <v>7</v>
      </c>
      <c r="D28" s="4">
        <v>315</v>
      </c>
      <c r="E28" s="2">
        <v>4</v>
      </c>
      <c r="F28" s="3">
        <f t="shared" si="0"/>
        <v>2.1</v>
      </c>
      <c r="G28" s="3">
        <f t="shared" si="1"/>
        <v>6.1</v>
      </c>
    </row>
    <row r="29" spans="1:7" x14ac:dyDescent="0.35">
      <c r="A29" s="4">
        <v>350910</v>
      </c>
      <c r="B29" s="6" t="s">
        <v>35</v>
      </c>
      <c r="C29" s="5" t="s">
        <v>7</v>
      </c>
      <c r="D29" s="4">
        <v>270</v>
      </c>
      <c r="E29" s="2">
        <v>4</v>
      </c>
      <c r="F29" s="3">
        <f t="shared" si="0"/>
        <v>1.8</v>
      </c>
      <c r="G29" s="3">
        <f t="shared" si="1"/>
        <v>5.8</v>
      </c>
    </row>
    <row r="30" spans="1:7" x14ac:dyDescent="0.35">
      <c r="A30" s="4">
        <v>351603</v>
      </c>
      <c r="B30" s="6" t="s">
        <v>36</v>
      </c>
      <c r="C30" s="5" t="s">
        <v>7</v>
      </c>
      <c r="D30" s="4">
        <v>3200</v>
      </c>
      <c r="E30" s="2">
        <v>4</v>
      </c>
      <c r="F30" s="3">
        <f t="shared" si="0"/>
        <v>21.333333333333332</v>
      </c>
      <c r="G30" s="3">
        <f t="shared" si="1"/>
        <v>25.333333333333332</v>
      </c>
    </row>
    <row r="31" spans="1:7" x14ac:dyDescent="0.35">
      <c r="A31" s="4">
        <v>351213</v>
      </c>
      <c r="B31" s="7" t="s">
        <v>37</v>
      </c>
      <c r="C31" s="5" t="s">
        <v>7</v>
      </c>
      <c r="D31" s="4">
        <v>450</v>
      </c>
      <c r="E31" s="2">
        <v>4</v>
      </c>
      <c r="F31" s="3">
        <f t="shared" si="0"/>
        <v>3</v>
      </c>
      <c r="G31" s="3">
        <f t="shared" si="1"/>
        <v>7</v>
      </c>
    </row>
    <row r="32" spans="1:7" x14ac:dyDescent="0.35">
      <c r="A32" s="4">
        <v>351218</v>
      </c>
      <c r="B32" s="7" t="s">
        <v>38</v>
      </c>
      <c r="C32" s="5" t="s">
        <v>7</v>
      </c>
      <c r="D32" s="4">
        <v>203</v>
      </c>
      <c r="E32" s="2">
        <v>4</v>
      </c>
      <c r="F32" s="3">
        <f t="shared" si="0"/>
        <v>1.3533333333333333</v>
      </c>
      <c r="G32" s="3">
        <f t="shared" si="1"/>
        <v>5.3533333333333335</v>
      </c>
    </row>
    <row r="33" spans="1:7" x14ac:dyDescent="0.35">
      <c r="A33" s="4">
        <v>351219</v>
      </c>
      <c r="B33" s="7" t="s">
        <v>39</v>
      </c>
      <c r="C33" s="5" t="s">
        <v>7</v>
      </c>
      <c r="D33" s="4">
        <v>207</v>
      </c>
      <c r="E33" s="2">
        <v>4</v>
      </c>
      <c r="F33" s="3">
        <f t="shared" si="0"/>
        <v>1.38</v>
      </c>
      <c r="G33" s="3">
        <f t="shared" si="1"/>
        <v>5.38</v>
      </c>
    </row>
    <row r="34" spans="1:7" x14ac:dyDescent="0.35">
      <c r="A34" s="4">
        <v>351206</v>
      </c>
      <c r="B34" s="7" t="s">
        <v>40</v>
      </c>
      <c r="C34" s="5" t="s">
        <v>7</v>
      </c>
      <c r="D34" s="4">
        <v>270</v>
      </c>
      <c r="E34" s="2">
        <v>4</v>
      </c>
      <c r="F34" s="3">
        <f t="shared" si="0"/>
        <v>1.8</v>
      </c>
      <c r="G34" s="3">
        <f t="shared" si="1"/>
        <v>5.8</v>
      </c>
    </row>
    <row r="35" spans="1:7" x14ac:dyDescent="0.35">
      <c r="A35" s="4">
        <v>351208</v>
      </c>
      <c r="B35" s="7" t="s">
        <v>41</v>
      </c>
      <c r="C35" s="5" t="s">
        <v>7</v>
      </c>
      <c r="D35" s="4">
        <v>230</v>
      </c>
      <c r="E35" s="2">
        <v>4</v>
      </c>
      <c r="F35" s="3">
        <f t="shared" si="0"/>
        <v>1.5333333333333334</v>
      </c>
      <c r="G35" s="3">
        <f t="shared" si="1"/>
        <v>5.5333333333333332</v>
      </c>
    </row>
    <row r="36" spans="1:7" x14ac:dyDescent="0.35">
      <c r="A36" s="4">
        <v>351518</v>
      </c>
      <c r="B36" s="7" t="s">
        <v>42</v>
      </c>
      <c r="C36" s="5" t="s">
        <v>7</v>
      </c>
      <c r="D36" s="4">
        <v>162</v>
      </c>
      <c r="E36" s="2">
        <v>4</v>
      </c>
      <c r="F36" s="3">
        <f t="shared" si="0"/>
        <v>1.08</v>
      </c>
      <c r="G36" s="3">
        <f t="shared" si="1"/>
        <v>5.08</v>
      </c>
    </row>
    <row r="37" spans="1:7" x14ac:dyDescent="0.35">
      <c r="A37" s="4">
        <v>351524</v>
      </c>
      <c r="B37" s="6" t="s">
        <v>43</v>
      </c>
      <c r="C37" s="5" t="s">
        <v>7</v>
      </c>
      <c r="D37" s="4">
        <v>700</v>
      </c>
      <c r="E37" s="2">
        <v>4</v>
      </c>
      <c r="F37" s="3">
        <f t="shared" si="0"/>
        <v>4.666666666666667</v>
      </c>
      <c r="G37" s="3">
        <f t="shared" si="1"/>
        <v>8.6666666666666679</v>
      </c>
    </row>
    <row r="38" spans="1:7" x14ac:dyDescent="0.35">
      <c r="A38" s="4">
        <v>10202</v>
      </c>
      <c r="B38" s="6" t="s">
        <v>45</v>
      </c>
      <c r="C38" s="5" t="s">
        <v>44</v>
      </c>
      <c r="D38" s="4">
        <v>72</v>
      </c>
      <c r="E38" s="2">
        <v>4</v>
      </c>
      <c r="F38" s="3">
        <f t="shared" si="0"/>
        <v>0.48</v>
      </c>
      <c r="G38" s="3">
        <f t="shared" si="1"/>
        <v>4.4800000000000004</v>
      </c>
    </row>
    <row r="39" spans="1:7" x14ac:dyDescent="0.35">
      <c r="A39" s="4">
        <v>160103</v>
      </c>
      <c r="B39" s="6" t="s">
        <v>46</v>
      </c>
      <c r="C39" s="5" t="s">
        <v>44</v>
      </c>
      <c r="D39" s="4">
        <v>260</v>
      </c>
      <c r="E39" s="2">
        <v>4</v>
      </c>
      <c r="F39" s="3">
        <f t="shared" si="0"/>
        <v>1.7333333333333334</v>
      </c>
      <c r="G39" s="3">
        <f t="shared" si="1"/>
        <v>5.7333333333333334</v>
      </c>
    </row>
    <row r="40" spans="1:7" x14ac:dyDescent="0.35">
      <c r="A40" s="4">
        <v>160208</v>
      </c>
      <c r="B40" s="6" t="s">
        <v>47</v>
      </c>
      <c r="C40" s="5" t="s">
        <v>44</v>
      </c>
      <c r="D40" s="4">
        <v>280</v>
      </c>
      <c r="E40" s="2">
        <v>4</v>
      </c>
      <c r="F40" s="3">
        <f t="shared" si="0"/>
        <v>1.8666666666666667</v>
      </c>
      <c r="G40" s="3">
        <f t="shared" si="1"/>
        <v>5.8666666666666671</v>
      </c>
    </row>
    <row r="41" spans="1:7" x14ac:dyDescent="0.35">
      <c r="A41" s="4">
        <v>160209</v>
      </c>
      <c r="B41" s="6" t="s">
        <v>48</v>
      </c>
      <c r="C41" s="5" t="s">
        <v>44</v>
      </c>
      <c r="D41" s="4">
        <v>320</v>
      </c>
      <c r="E41" s="2">
        <v>4</v>
      </c>
      <c r="F41" s="3">
        <f t="shared" si="0"/>
        <v>2.1333333333333333</v>
      </c>
      <c r="G41" s="3">
        <f t="shared" si="1"/>
        <v>6.1333333333333329</v>
      </c>
    </row>
    <row r="42" spans="1:7" x14ac:dyDescent="0.35">
      <c r="A42" s="4">
        <v>160406</v>
      </c>
      <c r="B42" s="6" t="s">
        <v>49</v>
      </c>
      <c r="C42" s="5" t="s">
        <v>44</v>
      </c>
      <c r="D42" s="4">
        <v>220</v>
      </c>
      <c r="E42" s="2">
        <v>4</v>
      </c>
      <c r="F42" s="3">
        <f t="shared" si="0"/>
        <v>1.4666666666666666</v>
      </c>
      <c r="G42" s="3">
        <f t="shared" si="1"/>
        <v>5.4666666666666668</v>
      </c>
    </row>
    <row r="43" spans="1:7" x14ac:dyDescent="0.35">
      <c r="A43" s="4">
        <v>160404</v>
      </c>
      <c r="B43" s="6" t="s">
        <v>50</v>
      </c>
      <c r="C43" s="5" t="s">
        <v>44</v>
      </c>
      <c r="D43" s="4">
        <v>320</v>
      </c>
      <c r="E43" s="2">
        <v>4</v>
      </c>
      <c r="F43" s="3">
        <f t="shared" si="0"/>
        <v>2.1333333333333333</v>
      </c>
      <c r="G43" s="3">
        <f t="shared" si="1"/>
        <v>6.1333333333333329</v>
      </c>
    </row>
    <row r="44" spans="1:7" x14ac:dyDescent="0.35">
      <c r="A44" s="4">
        <v>160518</v>
      </c>
      <c r="B44" s="6" t="s">
        <v>51</v>
      </c>
      <c r="C44" s="5" t="s">
        <v>44</v>
      </c>
      <c r="D44" s="4">
        <v>300</v>
      </c>
      <c r="E44" s="2">
        <v>4</v>
      </c>
      <c r="F44" s="3">
        <f t="shared" si="0"/>
        <v>2</v>
      </c>
      <c r="G44" s="3">
        <f t="shared" si="1"/>
        <v>6</v>
      </c>
    </row>
    <row r="45" spans="1:7" x14ac:dyDescent="0.35">
      <c r="A45" s="4">
        <v>160514</v>
      </c>
      <c r="B45" s="6" t="s">
        <v>52</v>
      </c>
      <c r="C45" s="5" t="s">
        <v>44</v>
      </c>
      <c r="D45" s="4">
        <v>320</v>
      </c>
      <c r="E45" s="2">
        <v>4</v>
      </c>
      <c r="F45" s="3">
        <f t="shared" si="0"/>
        <v>2.1333333333333333</v>
      </c>
      <c r="G45" s="3">
        <f t="shared" si="1"/>
        <v>6.1333333333333329</v>
      </c>
    </row>
    <row r="46" spans="1:7" x14ac:dyDescent="0.35">
      <c r="A46" s="4">
        <v>160503</v>
      </c>
      <c r="B46" s="6" t="s">
        <v>53</v>
      </c>
      <c r="C46" s="5" t="s">
        <v>44</v>
      </c>
      <c r="D46" s="4">
        <v>265</v>
      </c>
      <c r="E46" s="2">
        <v>4</v>
      </c>
      <c r="F46" s="3">
        <f t="shared" si="0"/>
        <v>1.7666666666666666</v>
      </c>
      <c r="G46" s="3">
        <f t="shared" si="1"/>
        <v>5.7666666666666666</v>
      </c>
    </row>
    <row r="47" spans="1:7" x14ac:dyDescent="0.35">
      <c r="A47" s="4">
        <v>270104</v>
      </c>
      <c r="B47" s="6" t="s">
        <v>54</v>
      </c>
      <c r="C47" s="5" t="s">
        <v>44</v>
      </c>
      <c r="D47" s="4">
        <v>300</v>
      </c>
      <c r="E47" s="2">
        <v>4</v>
      </c>
      <c r="F47" s="3">
        <f t="shared" si="0"/>
        <v>2</v>
      </c>
      <c r="G47" s="3">
        <f t="shared" si="1"/>
        <v>6</v>
      </c>
    </row>
    <row r="48" spans="1:7" x14ac:dyDescent="0.35">
      <c r="A48" s="4">
        <v>270203</v>
      </c>
      <c r="B48" s="6" t="s">
        <v>55</v>
      </c>
      <c r="C48" s="5" t="s">
        <v>44</v>
      </c>
      <c r="D48" s="4">
        <v>170</v>
      </c>
      <c r="E48" s="2">
        <v>4</v>
      </c>
      <c r="F48" s="3">
        <f t="shared" si="0"/>
        <v>1.1333333333333333</v>
      </c>
      <c r="G48" s="3">
        <f t="shared" si="1"/>
        <v>5.1333333333333329</v>
      </c>
    </row>
    <row r="49" spans="1:7" x14ac:dyDescent="0.35">
      <c r="A49" s="4">
        <v>270204</v>
      </c>
      <c r="B49" s="6" t="s">
        <v>56</v>
      </c>
      <c r="C49" s="5" t="s">
        <v>44</v>
      </c>
      <c r="D49" s="4">
        <v>126</v>
      </c>
      <c r="E49" s="2">
        <v>4</v>
      </c>
      <c r="F49" s="3">
        <f t="shared" si="0"/>
        <v>0.84</v>
      </c>
      <c r="G49" s="3">
        <f t="shared" si="1"/>
        <v>4.84</v>
      </c>
    </row>
    <row r="50" spans="1:7" x14ac:dyDescent="0.35">
      <c r="A50" s="4">
        <v>270305</v>
      </c>
      <c r="B50" s="6" t="s">
        <v>57</v>
      </c>
      <c r="C50" s="5" t="s">
        <v>44</v>
      </c>
      <c r="D50" s="4">
        <v>130</v>
      </c>
      <c r="E50" s="2">
        <v>4</v>
      </c>
      <c r="F50" s="3">
        <f t="shared" si="0"/>
        <v>0.8666666666666667</v>
      </c>
      <c r="G50" s="3">
        <f t="shared" si="1"/>
        <v>4.8666666666666671</v>
      </c>
    </row>
    <row r="51" spans="1:7" x14ac:dyDescent="0.35">
      <c r="A51" s="4">
        <v>270402</v>
      </c>
      <c r="B51" s="6" t="s">
        <v>58</v>
      </c>
      <c r="C51" s="5" t="s">
        <v>44</v>
      </c>
      <c r="D51" s="4">
        <v>230</v>
      </c>
      <c r="E51" s="2">
        <v>4</v>
      </c>
      <c r="F51" s="3">
        <f t="shared" si="0"/>
        <v>1.5333333333333334</v>
      </c>
      <c r="G51" s="3">
        <f t="shared" si="1"/>
        <v>5.5333333333333332</v>
      </c>
    </row>
    <row r="52" spans="1:7" x14ac:dyDescent="0.35">
      <c r="A52" s="4">
        <v>270407</v>
      </c>
      <c r="B52" s="6" t="s">
        <v>59</v>
      </c>
      <c r="C52" s="5" t="s">
        <v>44</v>
      </c>
      <c r="D52" s="4">
        <v>430</v>
      </c>
      <c r="E52" s="2">
        <v>4</v>
      </c>
      <c r="F52" s="3">
        <f t="shared" si="0"/>
        <v>2.8666666666666667</v>
      </c>
      <c r="G52" s="3">
        <f t="shared" si="1"/>
        <v>6.8666666666666671</v>
      </c>
    </row>
    <row r="53" spans="1:7" x14ac:dyDescent="0.35">
      <c r="A53" s="4">
        <v>270501</v>
      </c>
      <c r="B53" s="6" t="s">
        <v>60</v>
      </c>
      <c r="C53" s="5" t="s">
        <v>44</v>
      </c>
      <c r="D53" s="4">
        <v>246</v>
      </c>
      <c r="E53" s="2">
        <v>4</v>
      </c>
      <c r="F53" s="3">
        <f t="shared" si="0"/>
        <v>1.64</v>
      </c>
      <c r="G53" s="3">
        <f t="shared" si="1"/>
        <v>5.64</v>
      </c>
    </row>
    <row r="54" spans="1:7" x14ac:dyDescent="0.35">
      <c r="A54" s="4">
        <v>270602</v>
      </c>
      <c r="B54" s="6" t="s">
        <v>61</v>
      </c>
      <c r="C54" s="5" t="s">
        <v>44</v>
      </c>
      <c r="D54" s="4">
        <v>176</v>
      </c>
      <c r="E54" s="2">
        <v>4</v>
      </c>
      <c r="F54" s="3">
        <f t="shared" si="0"/>
        <v>1.1733333333333333</v>
      </c>
      <c r="G54" s="3">
        <f t="shared" si="1"/>
        <v>5.1733333333333338</v>
      </c>
    </row>
    <row r="55" spans="1:7" x14ac:dyDescent="0.35">
      <c r="A55" s="4">
        <v>270703</v>
      </c>
      <c r="B55" s="6" t="s">
        <v>62</v>
      </c>
      <c r="C55" s="5" t="s">
        <v>44</v>
      </c>
      <c r="D55" s="4">
        <v>130</v>
      </c>
      <c r="E55" s="2">
        <v>4</v>
      </c>
      <c r="F55" s="3">
        <f t="shared" si="0"/>
        <v>0.8666666666666667</v>
      </c>
      <c r="G55" s="3">
        <f t="shared" si="1"/>
        <v>4.8666666666666671</v>
      </c>
    </row>
    <row r="56" spans="1:7" x14ac:dyDescent="0.35">
      <c r="A56" s="4">
        <v>310104</v>
      </c>
      <c r="B56" s="6" t="s">
        <v>63</v>
      </c>
      <c r="C56" s="5" t="s">
        <v>44</v>
      </c>
      <c r="D56" s="4">
        <v>50</v>
      </c>
      <c r="E56" s="2">
        <v>4</v>
      </c>
      <c r="F56" s="3">
        <f t="shared" si="0"/>
        <v>0.33333333333333331</v>
      </c>
      <c r="G56" s="3">
        <f t="shared" si="1"/>
        <v>4.333333333333333</v>
      </c>
    </row>
    <row r="57" spans="1:7" x14ac:dyDescent="0.35">
      <c r="A57" s="4">
        <v>370201</v>
      </c>
      <c r="B57" s="6" t="s">
        <v>64</v>
      </c>
      <c r="C57" s="5" t="s">
        <v>44</v>
      </c>
      <c r="D57" s="4">
        <v>140</v>
      </c>
      <c r="E57" s="2">
        <v>4</v>
      </c>
      <c r="F57" s="3">
        <f t="shared" si="0"/>
        <v>0.93333333333333335</v>
      </c>
      <c r="G57" s="3">
        <f t="shared" si="1"/>
        <v>4.9333333333333336</v>
      </c>
    </row>
    <row r="58" spans="1:7" x14ac:dyDescent="0.35">
      <c r="A58" s="4">
        <v>370305</v>
      </c>
      <c r="B58" s="6" t="s">
        <v>65</v>
      </c>
      <c r="C58" s="5" t="s">
        <v>44</v>
      </c>
      <c r="D58" s="4">
        <v>180</v>
      </c>
      <c r="E58" s="2">
        <v>4</v>
      </c>
      <c r="F58" s="3">
        <f t="shared" si="0"/>
        <v>1.2</v>
      </c>
      <c r="G58" s="3">
        <f t="shared" si="1"/>
        <v>5.2</v>
      </c>
    </row>
    <row r="59" spans="1:7" x14ac:dyDescent="0.35">
      <c r="A59" s="4">
        <v>370304</v>
      </c>
      <c r="B59" s="6" t="s">
        <v>66</v>
      </c>
      <c r="C59" s="5" t="s">
        <v>44</v>
      </c>
      <c r="D59" s="4">
        <v>250</v>
      </c>
      <c r="E59" s="2">
        <v>4</v>
      </c>
      <c r="F59" s="3">
        <f t="shared" si="0"/>
        <v>1.6666666666666667</v>
      </c>
      <c r="G59" s="3">
        <f t="shared" si="1"/>
        <v>5.666666666666667</v>
      </c>
    </row>
    <row r="60" spans="1:7" x14ac:dyDescent="0.35">
      <c r="A60" s="4">
        <v>370618</v>
      </c>
      <c r="B60" s="6" t="s">
        <v>67</v>
      </c>
      <c r="C60" s="5" t="s">
        <v>44</v>
      </c>
      <c r="D60" s="4">
        <v>750</v>
      </c>
      <c r="E60" s="2">
        <v>4</v>
      </c>
      <c r="F60" s="3">
        <f t="shared" si="0"/>
        <v>5</v>
      </c>
      <c r="G60" s="3">
        <f t="shared" si="1"/>
        <v>9</v>
      </c>
    </row>
    <row r="61" spans="1:7" x14ac:dyDescent="0.35">
      <c r="A61" s="4">
        <v>370603</v>
      </c>
      <c r="B61" s="6" t="s">
        <v>68</v>
      </c>
      <c r="C61" s="5" t="s">
        <v>44</v>
      </c>
      <c r="D61" s="4">
        <v>225</v>
      </c>
      <c r="E61" s="2">
        <v>4</v>
      </c>
      <c r="F61" s="3">
        <f t="shared" si="0"/>
        <v>1.5</v>
      </c>
      <c r="G61" s="3">
        <f t="shared" si="1"/>
        <v>5.5</v>
      </c>
    </row>
    <row r="62" spans="1:7" x14ac:dyDescent="0.35">
      <c r="A62" s="4">
        <v>370621</v>
      </c>
      <c r="B62" s="6" t="s">
        <v>69</v>
      </c>
      <c r="C62" s="5" t="s">
        <v>44</v>
      </c>
      <c r="D62" s="4">
        <v>1000</v>
      </c>
      <c r="E62" s="2">
        <v>4</v>
      </c>
      <c r="F62" s="3">
        <f t="shared" si="0"/>
        <v>6.666666666666667</v>
      </c>
      <c r="G62" s="3">
        <f t="shared" si="1"/>
        <v>10.666666666666668</v>
      </c>
    </row>
    <row r="63" spans="1:7" x14ac:dyDescent="0.35">
      <c r="A63" s="4">
        <v>370612</v>
      </c>
      <c r="B63" s="6" t="s">
        <v>70</v>
      </c>
      <c r="C63" s="5" t="s">
        <v>44</v>
      </c>
      <c r="D63" s="4">
        <v>165</v>
      </c>
      <c r="E63" s="2">
        <v>4</v>
      </c>
      <c r="F63" s="3">
        <f t="shared" si="0"/>
        <v>1.1000000000000001</v>
      </c>
      <c r="G63" s="3">
        <f t="shared" si="1"/>
        <v>5.0999999999999996</v>
      </c>
    </row>
    <row r="64" spans="1:7" x14ac:dyDescent="0.35">
      <c r="A64" s="4">
        <v>370617</v>
      </c>
      <c r="B64" s="6" t="s">
        <v>71</v>
      </c>
      <c r="C64" s="5" t="s">
        <v>44</v>
      </c>
      <c r="D64" s="4">
        <v>200</v>
      </c>
      <c r="E64" s="2">
        <v>4</v>
      </c>
      <c r="F64" s="3">
        <f t="shared" si="0"/>
        <v>1.3333333333333333</v>
      </c>
      <c r="G64" s="3">
        <f t="shared" si="1"/>
        <v>5.333333333333333</v>
      </c>
    </row>
    <row r="65" spans="1:7" x14ac:dyDescent="0.35">
      <c r="A65" s="4">
        <v>370701</v>
      </c>
      <c r="B65" s="6" t="s">
        <v>72</v>
      </c>
      <c r="C65" s="5" t="s">
        <v>44</v>
      </c>
      <c r="D65" s="4">
        <v>145</v>
      </c>
      <c r="E65" s="2">
        <v>4</v>
      </c>
      <c r="F65" s="3">
        <f t="shared" si="0"/>
        <v>0.96666666666666667</v>
      </c>
      <c r="G65" s="3">
        <f t="shared" si="1"/>
        <v>4.9666666666666668</v>
      </c>
    </row>
    <row r="66" spans="1:7" x14ac:dyDescent="0.35">
      <c r="A66" s="4">
        <v>370904</v>
      </c>
      <c r="B66" s="6" t="s">
        <v>73</v>
      </c>
      <c r="C66" s="5" t="s">
        <v>44</v>
      </c>
      <c r="D66" s="4">
        <v>204</v>
      </c>
      <c r="E66" s="2">
        <v>4</v>
      </c>
      <c r="F66" s="3">
        <f t="shared" si="0"/>
        <v>1.36</v>
      </c>
      <c r="G66" s="3">
        <f t="shared" si="1"/>
        <v>5.36</v>
      </c>
    </row>
    <row r="67" spans="1:7" x14ac:dyDescent="0.35">
      <c r="A67" s="4">
        <v>371201</v>
      </c>
      <c r="B67" s="6" t="s">
        <v>74</v>
      </c>
      <c r="C67" s="5" t="s">
        <v>44</v>
      </c>
      <c r="D67" s="4">
        <v>450</v>
      </c>
      <c r="E67" s="2">
        <v>4</v>
      </c>
      <c r="F67" s="3">
        <f t="shared" ref="F67:F130" si="2">D67/150</f>
        <v>3</v>
      </c>
      <c r="G67" s="3">
        <f t="shared" ref="G67:G130" si="3">E67+F67</f>
        <v>7</v>
      </c>
    </row>
    <row r="68" spans="1:7" x14ac:dyDescent="0.35">
      <c r="A68" s="4">
        <v>371002</v>
      </c>
      <c r="B68" s="6" t="s">
        <v>75</v>
      </c>
      <c r="C68" s="5" t="s">
        <v>44</v>
      </c>
      <c r="D68" s="4">
        <v>90</v>
      </c>
      <c r="E68" s="2">
        <v>4</v>
      </c>
      <c r="F68" s="3">
        <f t="shared" si="2"/>
        <v>0.6</v>
      </c>
      <c r="G68" s="3">
        <f t="shared" si="3"/>
        <v>4.5999999999999996</v>
      </c>
    </row>
    <row r="69" spans="1:7" x14ac:dyDescent="0.35">
      <c r="A69" s="4">
        <v>371001</v>
      </c>
      <c r="B69" s="6" t="s">
        <v>76</v>
      </c>
      <c r="C69" s="5" t="s">
        <v>44</v>
      </c>
      <c r="D69" s="4">
        <v>200</v>
      </c>
      <c r="E69" s="2">
        <v>4</v>
      </c>
      <c r="F69" s="3">
        <f t="shared" si="2"/>
        <v>1.3333333333333333</v>
      </c>
      <c r="G69" s="3">
        <f t="shared" si="3"/>
        <v>5.333333333333333</v>
      </c>
    </row>
    <row r="70" spans="1:7" x14ac:dyDescent="0.35">
      <c r="A70" s="4">
        <v>170101</v>
      </c>
      <c r="B70" s="6" t="s">
        <v>78</v>
      </c>
      <c r="C70" s="5" t="s">
        <v>77</v>
      </c>
      <c r="D70" s="4">
        <v>174</v>
      </c>
      <c r="E70" s="2">
        <v>4</v>
      </c>
      <c r="F70" s="3">
        <f t="shared" si="2"/>
        <v>1.1599999999999999</v>
      </c>
      <c r="G70" s="3">
        <f t="shared" si="3"/>
        <v>5.16</v>
      </c>
    </row>
    <row r="71" spans="1:7" x14ac:dyDescent="0.35">
      <c r="A71" s="4">
        <v>170214</v>
      </c>
      <c r="B71" s="6" t="s">
        <v>79</v>
      </c>
      <c r="C71" s="5" t="s">
        <v>77</v>
      </c>
      <c r="D71" s="4">
        <v>231</v>
      </c>
      <c r="E71" s="2">
        <v>4</v>
      </c>
      <c r="F71" s="3">
        <f t="shared" si="2"/>
        <v>1.54</v>
      </c>
      <c r="G71" s="3">
        <f t="shared" si="3"/>
        <v>5.54</v>
      </c>
    </row>
    <row r="72" spans="1:7" x14ac:dyDescent="0.35">
      <c r="A72" s="4">
        <v>170204</v>
      </c>
      <c r="B72" s="6" t="s">
        <v>80</v>
      </c>
      <c r="C72" s="5" t="s">
        <v>77</v>
      </c>
      <c r="D72" s="4">
        <v>390</v>
      </c>
      <c r="E72" s="2">
        <v>4</v>
      </c>
      <c r="F72" s="3">
        <f t="shared" si="2"/>
        <v>2.6</v>
      </c>
      <c r="G72" s="3">
        <f t="shared" si="3"/>
        <v>6.6</v>
      </c>
    </row>
    <row r="73" spans="1:7" x14ac:dyDescent="0.35">
      <c r="A73" s="4">
        <v>170218</v>
      </c>
      <c r="B73" s="6" t="s">
        <v>81</v>
      </c>
      <c r="C73" s="5" t="s">
        <v>77</v>
      </c>
      <c r="D73" s="4">
        <v>191</v>
      </c>
      <c r="E73" s="2">
        <v>4</v>
      </c>
      <c r="F73" s="3">
        <f t="shared" si="2"/>
        <v>1.2733333333333334</v>
      </c>
      <c r="G73" s="3">
        <f t="shared" si="3"/>
        <v>5.2733333333333334</v>
      </c>
    </row>
    <row r="74" spans="1:7" x14ac:dyDescent="0.35">
      <c r="A74" s="4">
        <v>170205</v>
      </c>
      <c r="B74" s="6" t="s">
        <v>82</v>
      </c>
      <c r="C74" s="5" t="s">
        <v>77</v>
      </c>
      <c r="D74" s="4">
        <v>412</v>
      </c>
      <c r="E74" s="2">
        <v>4</v>
      </c>
      <c r="F74" s="3">
        <f t="shared" si="2"/>
        <v>2.7466666666666666</v>
      </c>
      <c r="G74" s="3">
        <f t="shared" si="3"/>
        <v>6.7466666666666661</v>
      </c>
    </row>
    <row r="75" spans="1:7" x14ac:dyDescent="0.35">
      <c r="A75" s="4">
        <v>170302</v>
      </c>
      <c r="B75" s="6" t="s">
        <v>83</v>
      </c>
      <c r="C75" s="5" t="s">
        <v>77</v>
      </c>
      <c r="D75" s="4">
        <v>126</v>
      </c>
      <c r="E75" s="2">
        <v>4</v>
      </c>
      <c r="F75" s="3">
        <f t="shared" si="2"/>
        <v>0.84</v>
      </c>
      <c r="G75" s="3">
        <f t="shared" si="3"/>
        <v>4.84</v>
      </c>
    </row>
    <row r="76" spans="1:7" x14ac:dyDescent="0.35">
      <c r="A76" s="4">
        <v>170301</v>
      </c>
      <c r="B76" s="6" t="s">
        <v>84</v>
      </c>
      <c r="C76" s="5" t="s">
        <v>77</v>
      </c>
      <c r="D76" s="4">
        <v>181</v>
      </c>
      <c r="E76" s="2">
        <v>4</v>
      </c>
      <c r="F76" s="3">
        <f t="shared" si="2"/>
        <v>1.2066666666666668</v>
      </c>
      <c r="G76" s="3">
        <f t="shared" si="3"/>
        <v>5.206666666666667</v>
      </c>
    </row>
    <row r="77" spans="1:7" x14ac:dyDescent="0.35">
      <c r="A77" s="4">
        <v>170402</v>
      </c>
      <c r="B77" s="6" t="s">
        <v>85</v>
      </c>
      <c r="C77" s="5" t="s">
        <v>77</v>
      </c>
      <c r="D77" s="4">
        <v>293</v>
      </c>
      <c r="E77" s="2">
        <v>4</v>
      </c>
      <c r="F77" s="3">
        <f t="shared" si="2"/>
        <v>1.9533333333333334</v>
      </c>
      <c r="G77" s="3">
        <f t="shared" si="3"/>
        <v>5.9533333333333331</v>
      </c>
    </row>
    <row r="78" spans="1:7" x14ac:dyDescent="0.35">
      <c r="A78" s="4">
        <v>170501</v>
      </c>
      <c r="B78" s="6" t="s">
        <v>86</v>
      </c>
      <c r="C78" s="5" t="s">
        <v>77</v>
      </c>
      <c r="D78" s="4">
        <v>110</v>
      </c>
      <c r="E78" s="2">
        <v>4</v>
      </c>
      <c r="F78" s="3">
        <f t="shared" si="2"/>
        <v>0.73333333333333328</v>
      </c>
      <c r="G78" s="3">
        <f t="shared" si="3"/>
        <v>4.7333333333333334</v>
      </c>
    </row>
    <row r="79" spans="1:7" x14ac:dyDescent="0.35">
      <c r="A79" s="4">
        <v>170602</v>
      </c>
      <c r="B79" s="6" t="s">
        <v>87</v>
      </c>
      <c r="C79" s="5" t="s">
        <v>77</v>
      </c>
      <c r="D79" s="4">
        <v>265</v>
      </c>
      <c r="E79" s="2">
        <v>4</v>
      </c>
      <c r="F79" s="3">
        <f t="shared" si="2"/>
        <v>1.7666666666666666</v>
      </c>
      <c r="G79" s="3">
        <f t="shared" si="3"/>
        <v>5.7666666666666666</v>
      </c>
    </row>
    <row r="80" spans="1:7" x14ac:dyDescent="0.35">
      <c r="A80" s="4">
        <v>170701</v>
      </c>
      <c r="B80" s="6" t="s">
        <v>88</v>
      </c>
      <c r="C80" s="5" t="s">
        <v>77</v>
      </c>
      <c r="D80" s="4">
        <v>79</v>
      </c>
      <c r="E80" s="2">
        <v>4</v>
      </c>
      <c r="F80" s="3">
        <f t="shared" si="2"/>
        <v>0.52666666666666662</v>
      </c>
      <c r="G80" s="3">
        <f t="shared" si="3"/>
        <v>4.5266666666666664</v>
      </c>
    </row>
    <row r="81" spans="1:7" x14ac:dyDescent="0.35">
      <c r="A81" s="4">
        <v>170802</v>
      </c>
      <c r="B81" s="6" t="s">
        <v>89</v>
      </c>
      <c r="C81" s="5" t="s">
        <v>77</v>
      </c>
      <c r="D81" s="4">
        <v>105</v>
      </c>
      <c r="E81" s="2">
        <v>4</v>
      </c>
      <c r="F81" s="3">
        <f t="shared" si="2"/>
        <v>0.7</v>
      </c>
      <c r="G81" s="3">
        <f t="shared" si="3"/>
        <v>4.7</v>
      </c>
    </row>
    <row r="82" spans="1:7" x14ac:dyDescent="0.35">
      <c r="A82" s="4">
        <v>180101</v>
      </c>
      <c r="B82" s="6" t="s">
        <v>90</v>
      </c>
      <c r="C82" s="5" t="s">
        <v>77</v>
      </c>
      <c r="D82" s="4">
        <v>121</v>
      </c>
      <c r="E82" s="2">
        <v>4</v>
      </c>
      <c r="F82" s="3">
        <f t="shared" si="2"/>
        <v>0.80666666666666664</v>
      </c>
      <c r="G82" s="3">
        <f t="shared" si="3"/>
        <v>4.8066666666666666</v>
      </c>
    </row>
    <row r="83" spans="1:7" x14ac:dyDescent="0.35">
      <c r="A83" s="4">
        <v>180105</v>
      </c>
      <c r="B83" s="6" t="s">
        <v>91</v>
      </c>
      <c r="C83" s="5" t="s">
        <v>77</v>
      </c>
      <c r="D83" s="4">
        <v>120</v>
      </c>
      <c r="E83" s="2">
        <v>4</v>
      </c>
      <c r="F83" s="3">
        <f t="shared" si="2"/>
        <v>0.8</v>
      </c>
      <c r="G83" s="3">
        <f t="shared" si="3"/>
        <v>4.8</v>
      </c>
    </row>
    <row r="84" spans="1:7" x14ac:dyDescent="0.35">
      <c r="A84" s="4">
        <v>180103</v>
      </c>
      <c r="B84" s="6" t="s">
        <v>92</v>
      </c>
      <c r="C84" s="5" t="s">
        <v>77</v>
      </c>
      <c r="D84" s="4">
        <v>115</v>
      </c>
      <c r="E84" s="2">
        <v>4</v>
      </c>
      <c r="F84" s="3">
        <f t="shared" si="2"/>
        <v>0.76666666666666672</v>
      </c>
      <c r="G84" s="3">
        <f t="shared" si="3"/>
        <v>4.7666666666666666</v>
      </c>
    </row>
    <row r="85" spans="1:7" x14ac:dyDescent="0.35">
      <c r="A85" s="4">
        <v>180205</v>
      </c>
      <c r="B85" s="6" t="s">
        <v>93</v>
      </c>
      <c r="C85" s="5" t="s">
        <v>77</v>
      </c>
      <c r="D85" s="4">
        <v>167</v>
      </c>
      <c r="E85" s="2">
        <v>4</v>
      </c>
      <c r="F85" s="3">
        <f t="shared" si="2"/>
        <v>1.1133333333333333</v>
      </c>
      <c r="G85" s="3">
        <f t="shared" si="3"/>
        <v>5.1133333333333333</v>
      </c>
    </row>
    <row r="86" spans="1:7" x14ac:dyDescent="0.35">
      <c r="A86" s="4">
        <v>180304</v>
      </c>
      <c r="B86" s="6" t="s">
        <v>94</v>
      </c>
      <c r="C86" s="5" t="s">
        <v>77</v>
      </c>
      <c r="D86" s="4">
        <v>65</v>
      </c>
      <c r="E86" s="2">
        <v>4</v>
      </c>
      <c r="F86" s="3">
        <f t="shared" si="2"/>
        <v>0.43333333333333335</v>
      </c>
      <c r="G86" s="3">
        <f t="shared" si="3"/>
        <v>4.4333333333333336</v>
      </c>
    </row>
    <row r="87" spans="1:7" x14ac:dyDescent="0.35">
      <c r="A87" s="4">
        <v>180302</v>
      </c>
      <c r="B87" s="6" t="s">
        <v>95</v>
      </c>
      <c r="C87" s="5" t="s">
        <v>77</v>
      </c>
      <c r="D87" s="4">
        <v>115</v>
      </c>
      <c r="E87" s="2">
        <v>4</v>
      </c>
      <c r="F87" s="3">
        <f t="shared" si="2"/>
        <v>0.76666666666666672</v>
      </c>
      <c r="G87" s="3">
        <f t="shared" si="3"/>
        <v>4.7666666666666666</v>
      </c>
    </row>
    <row r="88" spans="1:7" x14ac:dyDescent="0.35">
      <c r="A88" s="4">
        <v>180401</v>
      </c>
      <c r="B88" s="6" t="s">
        <v>96</v>
      </c>
      <c r="C88" s="5" t="s">
        <v>77</v>
      </c>
      <c r="D88" s="4">
        <v>100</v>
      </c>
      <c r="E88" s="2">
        <v>4</v>
      </c>
      <c r="F88" s="3">
        <f t="shared" si="2"/>
        <v>0.66666666666666663</v>
      </c>
      <c r="G88" s="3">
        <f t="shared" si="3"/>
        <v>4.666666666666667</v>
      </c>
    </row>
    <row r="89" spans="1:7" x14ac:dyDescent="0.35">
      <c r="A89" s="4">
        <v>180506</v>
      </c>
      <c r="B89" s="6" t="s">
        <v>97</v>
      </c>
      <c r="C89" s="5" t="s">
        <v>77</v>
      </c>
      <c r="D89" s="4">
        <v>123</v>
      </c>
      <c r="E89" s="2">
        <v>4</v>
      </c>
      <c r="F89" s="3">
        <f t="shared" si="2"/>
        <v>0.82</v>
      </c>
      <c r="G89" s="3">
        <f t="shared" si="3"/>
        <v>4.82</v>
      </c>
    </row>
    <row r="90" spans="1:7" x14ac:dyDescent="0.35">
      <c r="A90" s="4">
        <v>180505</v>
      </c>
      <c r="B90" s="6" t="s">
        <v>98</v>
      </c>
      <c r="C90" s="5" t="s">
        <v>77</v>
      </c>
      <c r="D90" s="4">
        <v>204</v>
      </c>
      <c r="E90" s="2">
        <v>4</v>
      </c>
      <c r="F90" s="3">
        <f t="shared" si="2"/>
        <v>1.36</v>
      </c>
      <c r="G90" s="3">
        <f t="shared" si="3"/>
        <v>5.36</v>
      </c>
    </row>
    <row r="91" spans="1:7" x14ac:dyDescent="0.35">
      <c r="A91" s="4">
        <v>180803</v>
      </c>
      <c r="B91" s="6" t="s">
        <v>99</v>
      </c>
      <c r="C91" s="5" t="s">
        <v>77</v>
      </c>
      <c r="D91" s="4">
        <v>148</v>
      </c>
      <c r="E91" s="2">
        <v>4</v>
      </c>
      <c r="F91" s="3">
        <f t="shared" si="2"/>
        <v>0.98666666666666669</v>
      </c>
      <c r="G91" s="3">
        <f t="shared" si="3"/>
        <v>4.9866666666666664</v>
      </c>
    </row>
    <row r="92" spans="1:7" x14ac:dyDescent="0.35">
      <c r="A92" s="4">
        <v>180701</v>
      </c>
      <c r="B92" s="6" t="s">
        <v>100</v>
      </c>
      <c r="C92" s="5" t="s">
        <v>77</v>
      </c>
      <c r="D92" s="4">
        <v>199</v>
      </c>
      <c r="E92" s="2">
        <v>4</v>
      </c>
      <c r="F92" s="3">
        <f t="shared" si="2"/>
        <v>1.3266666666666667</v>
      </c>
      <c r="G92" s="3">
        <f t="shared" si="3"/>
        <v>5.3266666666666662</v>
      </c>
    </row>
    <row r="93" spans="1:7" x14ac:dyDescent="0.35">
      <c r="A93" s="4">
        <v>180708</v>
      </c>
      <c r="B93" s="6" t="s">
        <v>101</v>
      </c>
      <c r="C93" s="5" t="s">
        <v>77</v>
      </c>
      <c r="D93" s="4">
        <v>115</v>
      </c>
      <c r="E93" s="2">
        <v>4</v>
      </c>
      <c r="F93" s="3">
        <f t="shared" si="2"/>
        <v>0.76666666666666672</v>
      </c>
      <c r="G93" s="3">
        <f t="shared" si="3"/>
        <v>4.7666666666666666</v>
      </c>
    </row>
    <row r="94" spans="1:7" x14ac:dyDescent="0.35">
      <c r="A94" s="4">
        <v>180709</v>
      </c>
      <c r="B94" s="6" t="s">
        <v>102</v>
      </c>
      <c r="C94" s="5" t="s">
        <v>77</v>
      </c>
      <c r="D94" s="4">
        <v>88</v>
      </c>
      <c r="E94" s="2">
        <v>4</v>
      </c>
      <c r="F94" s="3">
        <f t="shared" si="2"/>
        <v>0.58666666666666667</v>
      </c>
      <c r="G94" s="3">
        <f t="shared" si="3"/>
        <v>4.5866666666666669</v>
      </c>
    </row>
    <row r="95" spans="1:7" x14ac:dyDescent="0.35">
      <c r="A95" s="4">
        <v>180804</v>
      </c>
      <c r="B95" s="6" t="s">
        <v>103</v>
      </c>
      <c r="C95" s="5" t="s">
        <v>77</v>
      </c>
      <c r="D95" s="4">
        <v>117</v>
      </c>
      <c r="E95" s="2">
        <v>4</v>
      </c>
      <c r="F95" s="3">
        <f t="shared" si="2"/>
        <v>0.78</v>
      </c>
      <c r="G95" s="3">
        <f t="shared" si="3"/>
        <v>4.78</v>
      </c>
    </row>
    <row r="96" spans="1:7" x14ac:dyDescent="0.35">
      <c r="A96" s="4">
        <v>190101</v>
      </c>
      <c r="B96" s="6" t="s">
        <v>104</v>
      </c>
      <c r="C96" s="5" t="s">
        <v>77</v>
      </c>
      <c r="D96" s="4">
        <v>8</v>
      </c>
      <c r="E96" s="2">
        <v>4</v>
      </c>
      <c r="F96" s="3">
        <f t="shared" si="2"/>
        <v>5.3333333333333337E-2</v>
      </c>
      <c r="G96" s="3">
        <f t="shared" si="3"/>
        <v>4.0533333333333337</v>
      </c>
    </row>
    <row r="97" spans="1:7" x14ac:dyDescent="0.35">
      <c r="A97" s="4">
        <v>70102</v>
      </c>
      <c r="B97" s="6" t="s">
        <v>106</v>
      </c>
      <c r="C97" s="5" t="s">
        <v>105</v>
      </c>
      <c r="D97" s="4">
        <v>184</v>
      </c>
      <c r="E97" s="2">
        <v>4</v>
      </c>
      <c r="F97" s="3">
        <f t="shared" si="2"/>
        <v>1.2266666666666666</v>
      </c>
      <c r="G97" s="3">
        <f t="shared" si="3"/>
        <v>5.2266666666666666</v>
      </c>
    </row>
    <row r="98" spans="1:7" x14ac:dyDescent="0.35">
      <c r="A98" s="4">
        <v>70202</v>
      </c>
      <c r="B98" s="6" t="s">
        <v>107</v>
      </c>
      <c r="C98" s="5" t="s">
        <v>105</v>
      </c>
      <c r="D98" s="4">
        <v>188</v>
      </c>
      <c r="E98" s="2">
        <v>4</v>
      </c>
      <c r="F98" s="3">
        <f t="shared" si="2"/>
        <v>1.2533333333333334</v>
      </c>
      <c r="G98" s="3">
        <f t="shared" si="3"/>
        <v>5.2533333333333339</v>
      </c>
    </row>
    <row r="99" spans="1:7" x14ac:dyDescent="0.35">
      <c r="A99" s="4">
        <v>70205</v>
      </c>
      <c r="B99" s="6" t="s">
        <v>108</v>
      </c>
      <c r="C99" s="5" t="s">
        <v>105</v>
      </c>
      <c r="D99" s="4">
        <v>578</v>
      </c>
      <c r="E99" s="2">
        <v>4</v>
      </c>
      <c r="F99" s="3">
        <f t="shared" si="2"/>
        <v>3.8533333333333335</v>
      </c>
      <c r="G99" s="3">
        <f t="shared" si="3"/>
        <v>7.8533333333333335</v>
      </c>
    </row>
    <row r="100" spans="1:7" x14ac:dyDescent="0.35">
      <c r="A100" s="4">
        <v>2102101</v>
      </c>
      <c r="B100" s="6" t="s">
        <v>109</v>
      </c>
      <c r="C100" s="5" t="s">
        <v>105</v>
      </c>
      <c r="D100" s="4">
        <v>200</v>
      </c>
      <c r="E100" s="2">
        <v>4</v>
      </c>
      <c r="F100" s="3">
        <f t="shared" si="2"/>
        <v>1.3333333333333333</v>
      </c>
      <c r="G100" s="3">
        <f t="shared" si="3"/>
        <v>5.333333333333333</v>
      </c>
    </row>
    <row r="101" spans="1:7" x14ac:dyDescent="0.35">
      <c r="A101" s="4">
        <v>210202</v>
      </c>
      <c r="B101" s="6" t="s">
        <v>110</v>
      </c>
      <c r="C101" s="5" t="s">
        <v>105</v>
      </c>
      <c r="D101" s="4">
        <v>460</v>
      </c>
      <c r="E101" s="2">
        <v>4</v>
      </c>
      <c r="F101" s="3">
        <f t="shared" si="2"/>
        <v>3.0666666666666669</v>
      </c>
      <c r="G101" s="3">
        <f t="shared" si="3"/>
        <v>7.0666666666666664</v>
      </c>
    </row>
    <row r="102" spans="1:7" x14ac:dyDescent="0.35">
      <c r="A102" s="4">
        <v>210206</v>
      </c>
      <c r="B102" s="6" t="s">
        <v>111</v>
      </c>
      <c r="C102" s="5" t="s">
        <v>105</v>
      </c>
      <c r="D102" s="4">
        <v>248</v>
      </c>
      <c r="E102" s="2">
        <v>4</v>
      </c>
      <c r="F102" s="3">
        <f t="shared" si="2"/>
        <v>1.6533333333333333</v>
      </c>
      <c r="G102" s="3">
        <f t="shared" si="3"/>
        <v>5.6533333333333333</v>
      </c>
    </row>
    <row r="103" spans="1:7" x14ac:dyDescent="0.35">
      <c r="A103" s="4">
        <v>210402</v>
      </c>
      <c r="B103" s="6" t="s">
        <v>112</v>
      </c>
      <c r="C103" s="5" t="s">
        <v>105</v>
      </c>
      <c r="D103" s="4">
        <v>252</v>
      </c>
      <c r="E103" s="2">
        <v>4</v>
      </c>
      <c r="F103" s="3">
        <f t="shared" si="2"/>
        <v>1.68</v>
      </c>
      <c r="G103" s="3">
        <f t="shared" si="3"/>
        <v>5.68</v>
      </c>
    </row>
    <row r="104" spans="1:7" x14ac:dyDescent="0.35">
      <c r="A104" s="4">
        <v>210412</v>
      </c>
      <c r="B104" s="6" t="s">
        <v>113</v>
      </c>
      <c r="C104" s="5" t="s">
        <v>105</v>
      </c>
      <c r="D104" s="4">
        <v>326</v>
      </c>
      <c r="E104" s="2">
        <v>4</v>
      </c>
      <c r="F104" s="3">
        <f t="shared" si="2"/>
        <v>2.1733333333333333</v>
      </c>
      <c r="G104" s="3">
        <f t="shared" si="3"/>
        <v>6.1733333333333338</v>
      </c>
    </row>
    <row r="105" spans="1:7" x14ac:dyDescent="0.35">
      <c r="A105" s="4">
        <v>210413</v>
      </c>
      <c r="B105" s="6" t="s">
        <v>114</v>
      </c>
      <c r="C105" s="5" t="s">
        <v>105</v>
      </c>
      <c r="D105" s="4">
        <v>216</v>
      </c>
      <c r="E105" s="2">
        <v>4</v>
      </c>
      <c r="F105" s="3">
        <f t="shared" si="2"/>
        <v>1.44</v>
      </c>
      <c r="G105" s="3">
        <f t="shared" si="3"/>
        <v>5.4399999999999995</v>
      </c>
    </row>
    <row r="106" spans="1:7" x14ac:dyDescent="0.35">
      <c r="A106" s="4">
        <v>210504</v>
      </c>
      <c r="B106" s="6" t="s">
        <v>115</v>
      </c>
      <c r="C106" s="5" t="s">
        <v>105</v>
      </c>
      <c r="D106" s="4">
        <v>340</v>
      </c>
      <c r="E106" s="2">
        <v>4</v>
      </c>
      <c r="F106" s="3">
        <f t="shared" si="2"/>
        <v>2.2666666666666666</v>
      </c>
      <c r="G106" s="3">
        <f t="shared" si="3"/>
        <v>6.2666666666666666</v>
      </c>
    </row>
    <row r="107" spans="1:7" x14ac:dyDescent="0.35">
      <c r="A107" s="4">
        <v>210506</v>
      </c>
      <c r="B107" s="6" t="s">
        <v>116</v>
      </c>
      <c r="C107" s="5" t="s">
        <v>105</v>
      </c>
      <c r="D107" s="4">
        <v>190</v>
      </c>
      <c r="E107" s="2">
        <v>4</v>
      </c>
      <c r="F107" s="3">
        <f t="shared" si="2"/>
        <v>1.2666666666666666</v>
      </c>
      <c r="G107" s="3">
        <f t="shared" si="3"/>
        <v>5.2666666666666666</v>
      </c>
    </row>
    <row r="108" spans="1:7" x14ac:dyDescent="0.35">
      <c r="A108" s="4">
        <v>210801</v>
      </c>
      <c r="B108" s="6" t="s">
        <v>117</v>
      </c>
      <c r="C108" s="5" t="s">
        <v>105</v>
      </c>
      <c r="D108" s="4">
        <v>350</v>
      </c>
      <c r="E108" s="2">
        <v>4</v>
      </c>
      <c r="F108" s="3">
        <f t="shared" si="2"/>
        <v>2.3333333333333335</v>
      </c>
      <c r="G108" s="3">
        <f t="shared" si="3"/>
        <v>6.3333333333333339</v>
      </c>
    </row>
    <row r="109" spans="1:7" x14ac:dyDescent="0.35">
      <c r="A109" s="4">
        <v>211103</v>
      </c>
      <c r="B109" s="6" t="s">
        <v>118</v>
      </c>
      <c r="C109" s="5" t="s">
        <v>105</v>
      </c>
      <c r="D109" s="4">
        <v>246</v>
      </c>
      <c r="E109" s="2">
        <v>4</v>
      </c>
      <c r="F109" s="3">
        <f t="shared" si="2"/>
        <v>1.64</v>
      </c>
      <c r="G109" s="3">
        <f t="shared" si="3"/>
        <v>5.64</v>
      </c>
    </row>
    <row r="110" spans="1:7" x14ac:dyDescent="0.35">
      <c r="A110" s="4">
        <v>30103</v>
      </c>
      <c r="B110" s="6" t="s">
        <v>120</v>
      </c>
      <c r="C110" s="5" t="s">
        <v>119</v>
      </c>
      <c r="D110" s="4">
        <v>132</v>
      </c>
      <c r="E110" s="2">
        <v>4</v>
      </c>
      <c r="F110" s="3">
        <f t="shared" si="2"/>
        <v>0.88</v>
      </c>
      <c r="G110" s="3">
        <f t="shared" si="3"/>
        <v>4.88</v>
      </c>
    </row>
    <row r="111" spans="1:7" x14ac:dyDescent="0.35">
      <c r="A111" s="4">
        <v>40104</v>
      </c>
      <c r="B111" s="6" t="s">
        <v>121</v>
      </c>
      <c r="C111" s="5" t="s">
        <v>119</v>
      </c>
      <c r="D111" s="4">
        <v>120</v>
      </c>
      <c r="E111" s="2">
        <v>4</v>
      </c>
      <c r="F111" s="3">
        <f t="shared" si="2"/>
        <v>0.8</v>
      </c>
      <c r="G111" s="3">
        <f t="shared" si="3"/>
        <v>4.8</v>
      </c>
    </row>
    <row r="112" spans="1:7" x14ac:dyDescent="0.35">
      <c r="A112" s="4">
        <v>40201</v>
      </c>
      <c r="B112" s="6" t="s">
        <v>122</v>
      </c>
      <c r="C112" s="5" t="s">
        <v>119</v>
      </c>
      <c r="D112" s="4">
        <v>215</v>
      </c>
      <c r="E112" s="2">
        <v>4</v>
      </c>
      <c r="F112" s="3">
        <f t="shared" si="2"/>
        <v>1.4333333333333333</v>
      </c>
      <c r="G112" s="3">
        <f t="shared" si="3"/>
        <v>5.4333333333333336</v>
      </c>
    </row>
    <row r="113" spans="1:7" x14ac:dyDescent="0.35">
      <c r="A113" s="4">
        <v>40204</v>
      </c>
      <c r="B113" s="6" t="s">
        <v>123</v>
      </c>
      <c r="C113" s="5" t="s">
        <v>119</v>
      </c>
      <c r="D113" s="4">
        <v>125</v>
      </c>
      <c r="E113" s="2">
        <v>4</v>
      </c>
      <c r="F113" s="3">
        <f t="shared" si="2"/>
        <v>0.83333333333333337</v>
      </c>
      <c r="G113" s="3">
        <f t="shared" si="3"/>
        <v>4.833333333333333</v>
      </c>
    </row>
    <row r="114" spans="1:7" x14ac:dyDescent="0.35">
      <c r="A114" s="4">
        <v>40214</v>
      </c>
      <c r="B114" s="6" t="s">
        <v>124</v>
      </c>
      <c r="C114" s="5" t="s">
        <v>119</v>
      </c>
      <c r="D114" s="4">
        <v>87</v>
      </c>
      <c r="E114" s="2">
        <v>4</v>
      </c>
      <c r="F114" s="3">
        <f t="shared" si="2"/>
        <v>0.57999999999999996</v>
      </c>
      <c r="G114" s="3">
        <f t="shared" si="3"/>
        <v>4.58</v>
      </c>
    </row>
    <row r="115" spans="1:7" x14ac:dyDescent="0.35">
      <c r="A115" s="4">
        <v>40209</v>
      </c>
      <c r="B115" s="6" t="s">
        <v>125</v>
      </c>
      <c r="C115" s="5" t="s">
        <v>119</v>
      </c>
      <c r="D115" s="4">
        <v>270</v>
      </c>
      <c r="E115" s="2">
        <v>4</v>
      </c>
      <c r="F115" s="3">
        <f t="shared" si="2"/>
        <v>1.8</v>
      </c>
      <c r="G115" s="3">
        <f t="shared" si="3"/>
        <v>5.8</v>
      </c>
    </row>
    <row r="116" spans="1:7" x14ac:dyDescent="0.35">
      <c r="A116" s="4">
        <v>40303</v>
      </c>
      <c r="B116" s="6" t="s">
        <v>126</v>
      </c>
      <c r="C116" s="5" t="s">
        <v>119</v>
      </c>
      <c r="D116" s="4">
        <v>270</v>
      </c>
      <c r="E116" s="2">
        <v>4</v>
      </c>
      <c r="F116" s="3">
        <f t="shared" si="2"/>
        <v>1.8</v>
      </c>
      <c r="G116" s="3">
        <f t="shared" si="3"/>
        <v>5.8</v>
      </c>
    </row>
    <row r="117" spans="1:7" x14ac:dyDescent="0.35">
      <c r="A117" s="4">
        <v>40404</v>
      </c>
      <c r="B117" s="6" t="s">
        <v>127</v>
      </c>
      <c r="C117" s="5" t="s">
        <v>119</v>
      </c>
      <c r="D117" s="4">
        <v>64</v>
      </c>
      <c r="E117" s="2">
        <v>4</v>
      </c>
      <c r="F117" s="3">
        <f t="shared" si="2"/>
        <v>0.42666666666666669</v>
      </c>
      <c r="G117" s="3">
        <f t="shared" si="3"/>
        <v>4.4266666666666667</v>
      </c>
    </row>
    <row r="118" spans="1:7" x14ac:dyDescent="0.35">
      <c r="A118" s="4">
        <v>40405</v>
      </c>
      <c r="B118" s="6" t="s">
        <v>128</v>
      </c>
      <c r="C118" s="5" t="s">
        <v>119</v>
      </c>
      <c r="D118" s="4">
        <v>34</v>
      </c>
      <c r="E118" s="2">
        <v>4</v>
      </c>
      <c r="F118" s="3">
        <f t="shared" si="2"/>
        <v>0.22666666666666666</v>
      </c>
      <c r="G118" s="3">
        <f t="shared" si="3"/>
        <v>4.2266666666666666</v>
      </c>
    </row>
    <row r="119" spans="1:7" x14ac:dyDescent="0.35">
      <c r="A119" s="4">
        <v>230102</v>
      </c>
      <c r="B119" s="6" t="s">
        <v>129</v>
      </c>
      <c r="C119" s="5" t="s">
        <v>119</v>
      </c>
      <c r="D119" s="4">
        <v>140</v>
      </c>
      <c r="E119" s="2">
        <v>4</v>
      </c>
      <c r="F119" s="3">
        <f t="shared" si="2"/>
        <v>0.93333333333333335</v>
      </c>
      <c r="G119" s="3">
        <f t="shared" si="3"/>
        <v>4.9333333333333336</v>
      </c>
    </row>
    <row r="120" spans="1:7" x14ac:dyDescent="0.35">
      <c r="A120" s="4">
        <v>230203</v>
      </c>
      <c r="B120" s="6" t="s">
        <v>130</v>
      </c>
      <c r="C120" s="5" t="s">
        <v>119</v>
      </c>
      <c r="D120" s="4">
        <v>215</v>
      </c>
      <c r="E120" s="2">
        <v>4</v>
      </c>
      <c r="F120" s="3">
        <f t="shared" si="2"/>
        <v>1.4333333333333333</v>
      </c>
      <c r="G120" s="3">
        <f t="shared" si="3"/>
        <v>5.4333333333333336</v>
      </c>
    </row>
    <row r="121" spans="1:7" x14ac:dyDescent="0.35">
      <c r="A121" s="4">
        <v>230301</v>
      </c>
      <c r="B121" s="6" t="s">
        <v>131</v>
      </c>
      <c r="C121" s="5" t="s">
        <v>119</v>
      </c>
      <c r="D121" s="4">
        <v>43</v>
      </c>
      <c r="E121" s="2">
        <v>4</v>
      </c>
      <c r="F121" s="3">
        <f t="shared" si="2"/>
        <v>0.28666666666666668</v>
      </c>
      <c r="G121" s="3">
        <f t="shared" si="3"/>
        <v>4.2866666666666671</v>
      </c>
    </row>
    <row r="122" spans="1:7" x14ac:dyDescent="0.35">
      <c r="A122" s="4">
        <v>240101</v>
      </c>
      <c r="B122" s="6" t="s">
        <v>132</v>
      </c>
      <c r="C122" s="5" t="s">
        <v>119</v>
      </c>
      <c r="D122" s="4">
        <v>88</v>
      </c>
      <c r="E122" s="2">
        <v>4</v>
      </c>
      <c r="F122" s="3">
        <f t="shared" si="2"/>
        <v>0.58666666666666667</v>
      </c>
      <c r="G122" s="3">
        <f t="shared" si="3"/>
        <v>4.5866666666666669</v>
      </c>
    </row>
    <row r="123" spans="1:7" x14ac:dyDescent="0.35">
      <c r="A123" s="4">
        <v>250101</v>
      </c>
      <c r="B123" s="6" t="s">
        <v>133</v>
      </c>
      <c r="C123" s="5" t="s">
        <v>119</v>
      </c>
      <c r="D123" s="4">
        <v>62</v>
      </c>
      <c r="E123" s="2">
        <v>4</v>
      </c>
      <c r="F123" s="3">
        <f t="shared" si="2"/>
        <v>0.41333333333333333</v>
      </c>
      <c r="G123" s="3">
        <f t="shared" si="3"/>
        <v>4.4133333333333331</v>
      </c>
    </row>
    <row r="124" spans="1:7" x14ac:dyDescent="0.35">
      <c r="A124" s="4">
        <v>260101</v>
      </c>
      <c r="B124" s="6" t="s">
        <v>134</v>
      </c>
      <c r="C124" s="8" t="s">
        <v>119</v>
      </c>
      <c r="D124" s="4">
        <v>117</v>
      </c>
      <c r="E124" s="2">
        <v>4</v>
      </c>
      <c r="F124" s="3">
        <f t="shared" si="2"/>
        <v>0.78</v>
      </c>
      <c r="G124" s="3">
        <f t="shared" si="3"/>
        <v>4.78</v>
      </c>
    </row>
    <row r="125" spans="1:7" x14ac:dyDescent="0.35">
      <c r="A125" s="4">
        <v>340105</v>
      </c>
      <c r="B125" s="6" t="s">
        <v>135</v>
      </c>
      <c r="C125" s="8" t="s">
        <v>119</v>
      </c>
      <c r="D125" s="4">
        <v>126</v>
      </c>
      <c r="E125" s="2">
        <v>4</v>
      </c>
      <c r="F125" s="3">
        <f t="shared" si="2"/>
        <v>0.84</v>
      </c>
      <c r="G125" s="3">
        <f t="shared" si="3"/>
        <v>4.84</v>
      </c>
    </row>
    <row r="126" spans="1:7" x14ac:dyDescent="0.35">
      <c r="A126" s="4">
        <v>340101</v>
      </c>
      <c r="B126" s="6" t="s">
        <v>136</v>
      </c>
      <c r="C126" s="5" t="s">
        <v>119</v>
      </c>
      <c r="D126" s="4">
        <v>79</v>
      </c>
      <c r="E126" s="2">
        <v>4</v>
      </c>
      <c r="F126" s="3">
        <f t="shared" si="2"/>
        <v>0.52666666666666662</v>
      </c>
      <c r="G126" s="3">
        <f t="shared" si="3"/>
        <v>4.5266666666666664</v>
      </c>
    </row>
    <row r="127" spans="1:7" x14ac:dyDescent="0.35">
      <c r="A127" s="4">
        <v>300401</v>
      </c>
      <c r="B127" s="6" t="s">
        <v>138</v>
      </c>
      <c r="C127" s="5" t="s">
        <v>137</v>
      </c>
      <c r="D127" s="4">
        <v>673</v>
      </c>
      <c r="E127" s="2">
        <v>4</v>
      </c>
      <c r="F127" s="3">
        <f t="shared" si="2"/>
        <v>4.4866666666666664</v>
      </c>
      <c r="G127" s="3">
        <f t="shared" si="3"/>
        <v>8.4866666666666664</v>
      </c>
    </row>
    <row r="128" spans="1:7" x14ac:dyDescent="0.35">
      <c r="A128" s="4">
        <v>300404</v>
      </c>
      <c r="B128" s="6" t="s">
        <v>139</v>
      </c>
      <c r="C128" s="5" t="s">
        <v>137</v>
      </c>
      <c r="D128" s="4">
        <v>700</v>
      </c>
      <c r="E128" s="2">
        <v>4</v>
      </c>
      <c r="F128" s="3">
        <f t="shared" si="2"/>
        <v>4.666666666666667</v>
      </c>
      <c r="G128" s="3">
        <f t="shared" si="3"/>
        <v>8.6666666666666679</v>
      </c>
    </row>
    <row r="129" spans="1:7" x14ac:dyDescent="0.35">
      <c r="A129" s="4">
        <v>300409</v>
      </c>
      <c r="B129" s="6" t="s">
        <v>140</v>
      </c>
      <c r="C129" s="5" t="s">
        <v>137</v>
      </c>
      <c r="D129" s="4">
        <v>270</v>
      </c>
      <c r="E129" s="2">
        <v>4</v>
      </c>
      <c r="F129" s="3">
        <f t="shared" si="2"/>
        <v>1.8</v>
      </c>
      <c r="G129" s="3">
        <f t="shared" si="3"/>
        <v>5.8</v>
      </c>
    </row>
    <row r="130" spans="1:7" x14ac:dyDescent="0.35">
      <c r="A130" s="4">
        <v>300413</v>
      </c>
      <c r="B130" s="6" t="s">
        <v>141</v>
      </c>
      <c r="C130" s="5" t="s">
        <v>137</v>
      </c>
      <c r="D130" s="4">
        <v>300</v>
      </c>
      <c r="E130" s="2">
        <v>4</v>
      </c>
      <c r="F130" s="3">
        <f t="shared" si="2"/>
        <v>2</v>
      </c>
      <c r="G130" s="3">
        <f t="shared" si="3"/>
        <v>6</v>
      </c>
    </row>
    <row r="131" spans="1:7" x14ac:dyDescent="0.35">
      <c r="A131" s="4">
        <v>300415</v>
      </c>
      <c r="B131" s="6" t="s">
        <v>142</v>
      </c>
      <c r="C131" s="5" t="s">
        <v>137</v>
      </c>
      <c r="D131" s="4">
        <v>425</v>
      </c>
      <c r="E131" s="2">
        <v>4</v>
      </c>
      <c r="F131" s="3">
        <f t="shared" ref="F131:F194" si="4">D131/150</f>
        <v>2.8333333333333335</v>
      </c>
      <c r="G131" s="3">
        <f t="shared" ref="G131:G194" si="5">E131+F131</f>
        <v>6.8333333333333339</v>
      </c>
    </row>
    <row r="132" spans="1:7" x14ac:dyDescent="0.35">
      <c r="A132" s="4">
        <v>300501</v>
      </c>
      <c r="B132" s="6" t="s">
        <v>143</v>
      </c>
      <c r="C132" s="5" t="s">
        <v>137</v>
      </c>
      <c r="D132" s="4">
        <v>250</v>
      </c>
      <c r="E132" s="2">
        <v>4</v>
      </c>
      <c r="F132" s="3">
        <f t="shared" si="4"/>
        <v>1.6666666666666667</v>
      </c>
      <c r="G132" s="3">
        <f t="shared" si="5"/>
        <v>5.666666666666667</v>
      </c>
    </row>
    <row r="133" spans="1:7" x14ac:dyDescent="0.35">
      <c r="A133" s="4">
        <v>300706</v>
      </c>
      <c r="B133" s="6" t="s">
        <v>144</v>
      </c>
      <c r="C133" s="5" t="s">
        <v>137</v>
      </c>
      <c r="D133" s="4">
        <v>260</v>
      </c>
      <c r="E133" s="2">
        <v>4</v>
      </c>
      <c r="F133" s="3">
        <f t="shared" si="4"/>
        <v>1.7333333333333334</v>
      </c>
      <c r="G133" s="3">
        <f t="shared" si="5"/>
        <v>5.7333333333333334</v>
      </c>
    </row>
    <row r="134" spans="1:7" x14ac:dyDescent="0.35">
      <c r="A134" s="4">
        <v>300705</v>
      </c>
      <c r="B134" s="6" t="s">
        <v>145</v>
      </c>
      <c r="C134" s="5" t="s">
        <v>137</v>
      </c>
      <c r="D134" s="4">
        <v>250</v>
      </c>
      <c r="E134" s="2">
        <v>4</v>
      </c>
      <c r="F134" s="3">
        <f t="shared" si="4"/>
        <v>1.6666666666666667</v>
      </c>
      <c r="G134" s="3">
        <f t="shared" si="5"/>
        <v>5.666666666666667</v>
      </c>
    </row>
    <row r="135" spans="1:7" x14ac:dyDescent="0.35">
      <c r="A135" s="4">
        <v>300704</v>
      </c>
      <c r="B135" s="6" t="s">
        <v>146</v>
      </c>
      <c r="C135" s="5" t="s">
        <v>137</v>
      </c>
      <c r="D135" s="4">
        <v>200</v>
      </c>
      <c r="E135" s="2">
        <v>4</v>
      </c>
      <c r="F135" s="3">
        <f t="shared" si="4"/>
        <v>1.3333333333333333</v>
      </c>
      <c r="G135" s="3">
        <f t="shared" si="5"/>
        <v>5.333333333333333</v>
      </c>
    </row>
    <row r="136" spans="1:7" x14ac:dyDescent="0.35">
      <c r="A136" s="4">
        <v>351601</v>
      </c>
      <c r="B136" s="6" t="s">
        <v>147</v>
      </c>
      <c r="C136" s="5" t="s">
        <v>137</v>
      </c>
      <c r="D136" s="4">
        <v>3300</v>
      </c>
      <c r="E136" s="2">
        <v>4</v>
      </c>
      <c r="F136" s="3">
        <f t="shared" si="4"/>
        <v>22</v>
      </c>
      <c r="G136" s="3">
        <f t="shared" si="5"/>
        <v>26</v>
      </c>
    </row>
    <row r="137" spans="1:7" x14ac:dyDescent="0.35">
      <c r="A137" s="4" t="s">
        <v>148</v>
      </c>
      <c r="B137" s="6" t="s">
        <v>36</v>
      </c>
      <c r="C137" s="5" t="s">
        <v>137</v>
      </c>
      <c r="D137" s="4">
        <v>3200</v>
      </c>
      <c r="E137" s="2">
        <v>4</v>
      </c>
      <c r="F137" s="3">
        <f t="shared" si="4"/>
        <v>21.333333333333332</v>
      </c>
      <c r="G137" s="3">
        <f t="shared" si="5"/>
        <v>25.333333333333332</v>
      </c>
    </row>
    <row r="138" spans="1:7" x14ac:dyDescent="0.35">
      <c r="A138" s="4">
        <v>360102</v>
      </c>
      <c r="B138" s="6" t="s">
        <v>149</v>
      </c>
      <c r="C138" s="5" t="s">
        <v>137</v>
      </c>
      <c r="D138" s="4">
        <v>410</v>
      </c>
      <c r="E138" s="2">
        <v>4</v>
      </c>
      <c r="F138" s="3">
        <f t="shared" si="4"/>
        <v>2.7333333333333334</v>
      </c>
      <c r="G138" s="3">
        <f t="shared" si="5"/>
        <v>6.7333333333333334</v>
      </c>
    </row>
    <row r="139" spans="1:7" x14ac:dyDescent="0.35">
      <c r="A139" s="4">
        <v>360106</v>
      </c>
      <c r="B139" s="6" t="s">
        <v>150</v>
      </c>
      <c r="C139" s="5" t="s">
        <v>137</v>
      </c>
      <c r="D139" s="4">
        <v>300</v>
      </c>
      <c r="E139" s="2">
        <v>4</v>
      </c>
      <c r="F139" s="3">
        <f t="shared" si="4"/>
        <v>2</v>
      </c>
      <c r="G139" s="3">
        <f t="shared" si="5"/>
        <v>6</v>
      </c>
    </row>
    <row r="140" spans="1:7" x14ac:dyDescent="0.35">
      <c r="A140" s="4">
        <v>360207</v>
      </c>
      <c r="B140" s="6" t="s">
        <v>151</v>
      </c>
      <c r="C140" s="5" t="s">
        <v>137</v>
      </c>
      <c r="D140" s="4">
        <v>240</v>
      </c>
      <c r="E140" s="2">
        <v>4</v>
      </c>
      <c r="F140" s="3">
        <f t="shared" si="4"/>
        <v>1.6</v>
      </c>
      <c r="G140" s="3">
        <f t="shared" si="5"/>
        <v>5.6</v>
      </c>
    </row>
    <row r="141" spans="1:7" x14ac:dyDescent="0.35">
      <c r="A141" s="4">
        <v>360302</v>
      </c>
      <c r="B141" s="6" t="s">
        <v>152</v>
      </c>
      <c r="C141" s="5" t="s">
        <v>137</v>
      </c>
      <c r="D141" s="4">
        <v>430</v>
      </c>
      <c r="E141" s="2">
        <v>4</v>
      </c>
      <c r="F141" s="3">
        <f t="shared" si="4"/>
        <v>2.8666666666666667</v>
      </c>
      <c r="G141" s="3">
        <f t="shared" si="5"/>
        <v>6.8666666666666671</v>
      </c>
    </row>
    <row r="142" spans="1:7" x14ac:dyDescent="0.35">
      <c r="A142" s="4">
        <v>100128</v>
      </c>
      <c r="B142" s="6" t="s">
        <v>154</v>
      </c>
      <c r="C142" s="5" t="s">
        <v>153</v>
      </c>
      <c r="D142" s="4">
        <v>800</v>
      </c>
      <c r="E142" s="2">
        <v>4</v>
      </c>
      <c r="F142" s="3">
        <f t="shared" si="4"/>
        <v>5.333333333333333</v>
      </c>
      <c r="G142" s="3">
        <f t="shared" si="5"/>
        <v>9.3333333333333321</v>
      </c>
    </row>
    <row r="143" spans="1:7" x14ac:dyDescent="0.35">
      <c r="A143" s="4">
        <v>130502</v>
      </c>
      <c r="B143" s="6" t="s">
        <v>155</v>
      </c>
      <c r="C143" s="5" t="s">
        <v>153</v>
      </c>
      <c r="D143" s="4">
        <v>170</v>
      </c>
      <c r="E143" s="2">
        <v>4</v>
      </c>
      <c r="F143" s="3">
        <f t="shared" si="4"/>
        <v>1.1333333333333333</v>
      </c>
      <c r="G143" s="3">
        <f t="shared" si="5"/>
        <v>5.1333333333333329</v>
      </c>
    </row>
    <row r="144" spans="1:7" x14ac:dyDescent="0.35">
      <c r="A144" s="4">
        <v>130409</v>
      </c>
      <c r="B144" s="6" t="s">
        <v>156</v>
      </c>
      <c r="C144" s="5" t="s">
        <v>153</v>
      </c>
      <c r="D144" s="4">
        <v>270</v>
      </c>
      <c r="E144" s="2">
        <v>4</v>
      </c>
      <c r="F144" s="3">
        <f t="shared" si="4"/>
        <v>1.8</v>
      </c>
      <c r="G144" s="3">
        <f t="shared" si="5"/>
        <v>5.8</v>
      </c>
    </row>
    <row r="145" spans="1:7" x14ac:dyDescent="0.35">
      <c r="A145" s="4">
        <v>150110</v>
      </c>
      <c r="B145" s="6" t="s">
        <v>157</v>
      </c>
      <c r="C145" s="5" t="s">
        <v>153</v>
      </c>
      <c r="D145" s="4">
        <v>323</v>
      </c>
      <c r="E145" s="2">
        <v>4</v>
      </c>
      <c r="F145" s="3">
        <f t="shared" si="4"/>
        <v>2.1533333333333333</v>
      </c>
      <c r="G145" s="3">
        <f t="shared" si="5"/>
        <v>6.1533333333333333</v>
      </c>
    </row>
    <row r="146" spans="1:7" x14ac:dyDescent="0.35">
      <c r="A146" s="4">
        <v>150205</v>
      </c>
      <c r="B146" s="6" t="s">
        <v>158</v>
      </c>
      <c r="C146" s="5" t="s">
        <v>153</v>
      </c>
      <c r="D146" s="4">
        <v>206</v>
      </c>
      <c r="E146" s="2">
        <v>4</v>
      </c>
      <c r="F146" s="3">
        <f t="shared" si="4"/>
        <v>1.3733333333333333</v>
      </c>
      <c r="G146" s="3">
        <f t="shared" si="5"/>
        <v>5.3733333333333331</v>
      </c>
    </row>
    <row r="147" spans="1:7" x14ac:dyDescent="0.35">
      <c r="A147" s="4">
        <v>200201</v>
      </c>
      <c r="B147" s="6" t="s">
        <v>159</v>
      </c>
      <c r="C147" s="5" t="s">
        <v>153</v>
      </c>
      <c r="D147" s="4">
        <v>28</v>
      </c>
      <c r="E147" s="2">
        <v>4</v>
      </c>
      <c r="F147" s="3">
        <f t="shared" si="4"/>
        <v>0.18666666666666668</v>
      </c>
      <c r="G147" s="3">
        <f t="shared" si="5"/>
        <v>4.1866666666666665</v>
      </c>
    </row>
    <row r="148" spans="1:7" x14ac:dyDescent="0.35">
      <c r="A148" s="4">
        <v>290205</v>
      </c>
      <c r="B148" s="6" t="s">
        <v>160</v>
      </c>
      <c r="C148" s="5" t="s">
        <v>153</v>
      </c>
      <c r="D148" s="4">
        <v>347</v>
      </c>
      <c r="E148" s="2">
        <v>4</v>
      </c>
      <c r="F148" s="3">
        <f t="shared" si="4"/>
        <v>2.3133333333333335</v>
      </c>
      <c r="G148" s="3">
        <f t="shared" si="5"/>
        <v>6.3133333333333335</v>
      </c>
    </row>
    <row r="149" spans="1:7" x14ac:dyDescent="0.35">
      <c r="A149" s="4">
        <v>290409</v>
      </c>
      <c r="B149" s="6" t="s">
        <v>161</v>
      </c>
      <c r="C149" s="5" t="s">
        <v>153</v>
      </c>
      <c r="D149" s="4">
        <v>275</v>
      </c>
      <c r="E149" s="2">
        <v>4</v>
      </c>
      <c r="F149" s="3">
        <f t="shared" si="4"/>
        <v>1.8333333333333333</v>
      </c>
      <c r="G149" s="3">
        <f t="shared" si="5"/>
        <v>5.833333333333333</v>
      </c>
    </row>
    <row r="150" spans="1:7" x14ac:dyDescent="0.35">
      <c r="A150" s="4">
        <v>290703</v>
      </c>
      <c r="B150" s="6" t="s">
        <v>162</v>
      </c>
      <c r="C150" s="5" t="s">
        <v>153</v>
      </c>
      <c r="D150" s="4">
        <v>680</v>
      </c>
      <c r="E150" s="2">
        <v>4</v>
      </c>
      <c r="F150" s="3">
        <f t="shared" si="4"/>
        <v>4.5333333333333332</v>
      </c>
      <c r="G150" s="3">
        <f t="shared" si="5"/>
        <v>8.5333333333333332</v>
      </c>
    </row>
    <row r="151" spans="1:7" x14ac:dyDescent="0.35">
      <c r="A151" s="4">
        <v>60117</v>
      </c>
      <c r="B151" s="6" t="s">
        <v>163</v>
      </c>
      <c r="C151" s="5" t="s">
        <v>153</v>
      </c>
      <c r="D151" s="4">
        <v>348</v>
      </c>
      <c r="E151" s="2">
        <v>4</v>
      </c>
      <c r="F151" s="3">
        <f t="shared" si="4"/>
        <v>2.3199999999999998</v>
      </c>
      <c r="G151" s="3">
        <f t="shared" si="5"/>
        <v>6.32</v>
      </c>
    </row>
    <row r="152" spans="1:7" x14ac:dyDescent="0.35">
      <c r="A152" s="4">
        <v>60116</v>
      </c>
      <c r="B152" s="6" t="s">
        <v>164</v>
      </c>
      <c r="C152" s="5" t="s">
        <v>153</v>
      </c>
      <c r="D152" s="4">
        <v>221</v>
      </c>
      <c r="E152" s="2">
        <v>4</v>
      </c>
      <c r="F152" s="3">
        <f t="shared" si="4"/>
        <v>1.4733333333333334</v>
      </c>
      <c r="G152" s="3">
        <f t="shared" si="5"/>
        <v>5.4733333333333336</v>
      </c>
    </row>
    <row r="153" spans="1:7" x14ac:dyDescent="0.35">
      <c r="A153" s="4">
        <v>20101</v>
      </c>
      <c r="B153" s="6" t="s">
        <v>166</v>
      </c>
      <c r="C153" s="5" t="s">
        <v>165</v>
      </c>
      <c r="D153" s="4">
        <v>142</v>
      </c>
      <c r="E153" s="2">
        <v>4</v>
      </c>
      <c r="F153" s="3">
        <f t="shared" si="4"/>
        <v>0.94666666666666666</v>
      </c>
      <c r="G153" s="3">
        <f t="shared" si="5"/>
        <v>4.9466666666666663</v>
      </c>
    </row>
    <row r="154" spans="1:7" x14ac:dyDescent="0.35">
      <c r="A154" s="4">
        <v>20203</v>
      </c>
      <c r="B154" s="6" t="s">
        <v>167</v>
      </c>
      <c r="C154" s="5" t="s">
        <v>165</v>
      </c>
      <c r="D154" s="4">
        <v>152</v>
      </c>
      <c r="E154" s="2">
        <v>4</v>
      </c>
      <c r="F154" s="3">
        <f t="shared" si="4"/>
        <v>1.0133333333333334</v>
      </c>
      <c r="G154" s="3">
        <f t="shared" si="5"/>
        <v>5.0133333333333336</v>
      </c>
    </row>
    <row r="155" spans="1:7" x14ac:dyDescent="0.35">
      <c r="A155" s="4">
        <v>20204</v>
      </c>
      <c r="B155" s="6" t="s">
        <v>168</v>
      </c>
      <c r="C155" s="5" t="s">
        <v>165</v>
      </c>
      <c r="D155" s="4">
        <v>232</v>
      </c>
      <c r="E155" s="2">
        <v>4</v>
      </c>
      <c r="F155" s="3">
        <f t="shared" si="4"/>
        <v>1.5466666666666666</v>
      </c>
      <c r="G155" s="3">
        <f t="shared" si="5"/>
        <v>5.5466666666666669</v>
      </c>
    </row>
    <row r="156" spans="1:7" x14ac:dyDescent="0.35">
      <c r="A156" s="4">
        <v>20301</v>
      </c>
      <c r="B156" s="6" t="s">
        <v>169</v>
      </c>
      <c r="C156" s="5" t="s">
        <v>165</v>
      </c>
      <c r="D156" s="4">
        <v>255</v>
      </c>
      <c r="E156" s="2">
        <v>4</v>
      </c>
      <c r="F156" s="3">
        <f t="shared" si="4"/>
        <v>1.7</v>
      </c>
      <c r="G156" s="3">
        <f t="shared" si="5"/>
        <v>5.7</v>
      </c>
    </row>
    <row r="157" spans="1:7" x14ac:dyDescent="0.35">
      <c r="A157" s="4">
        <v>20402</v>
      </c>
      <c r="B157" s="6" t="s">
        <v>170</v>
      </c>
      <c r="C157" s="5" t="s">
        <v>165</v>
      </c>
      <c r="D157" s="4">
        <v>527</v>
      </c>
      <c r="E157" s="2">
        <v>4</v>
      </c>
      <c r="F157" s="3">
        <f t="shared" si="4"/>
        <v>3.5133333333333332</v>
      </c>
      <c r="G157" s="3">
        <f t="shared" si="5"/>
        <v>7.5133333333333336</v>
      </c>
    </row>
    <row r="158" spans="1:7" x14ac:dyDescent="0.35">
      <c r="A158" s="4">
        <v>20501</v>
      </c>
      <c r="B158" s="6" t="s">
        <v>171</v>
      </c>
      <c r="C158" s="5" t="s">
        <v>165</v>
      </c>
      <c r="D158" s="4">
        <v>150</v>
      </c>
      <c r="E158" s="2">
        <v>4</v>
      </c>
      <c r="F158" s="3">
        <f t="shared" si="4"/>
        <v>1</v>
      </c>
      <c r="G158" s="3">
        <f t="shared" si="5"/>
        <v>5</v>
      </c>
    </row>
    <row r="159" spans="1:7" x14ac:dyDescent="0.35">
      <c r="A159" s="4">
        <v>20701</v>
      </c>
      <c r="B159" s="6" t="s">
        <v>172</v>
      </c>
      <c r="C159" s="5" t="s">
        <v>165</v>
      </c>
      <c r="D159" s="4">
        <v>161</v>
      </c>
      <c r="E159" s="2">
        <v>4</v>
      </c>
      <c r="F159" s="3">
        <f t="shared" si="4"/>
        <v>1.0733333333333333</v>
      </c>
      <c r="G159" s="3">
        <f t="shared" si="5"/>
        <v>5.0733333333333333</v>
      </c>
    </row>
    <row r="160" spans="1:7" x14ac:dyDescent="0.35">
      <c r="A160" s="4">
        <v>20802</v>
      </c>
      <c r="B160" s="6" t="s">
        <v>173</v>
      </c>
      <c r="C160" s="5" t="s">
        <v>165</v>
      </c>
      <c r="D160" s="4">
        <v>399</v>
      </c>
      <c r="E160" s="2">
        <v>4</v>
      </c>
      <c r="F160" s="3">
        <f t="shared" si="4"/>
        <v>2.66</v>
      </c>
      <c r="G160" s="3">
        <f t="shared" si="5"/>
        <v>6.66</v>
      </c>
    </row>
    <row r="161" spans="1:7" x14ac:dyDescent="0.35">
      <c r="A161" s="4">
        <v>20901</v>
      </c>
      <c r="B161" s="6" t="s">
        <v>174</v>
      </c>
      <c r="C161" s="5" t="s">
        <v>165</v>
      </c>
      <c r="D161" s="4">
        <v>231</v>
      </c>
      <c r="E161" s="2">
        <v>4</v>
      </c>
      <c r="F161" s="3">
        <f t="shared" si="4"/>
        <v>1.54</v>
      </c>
      <c r="G161" s="3">
        <f t="shared" si="5"/>
        <v>5.54</v>
      </c>
    </row>
    <row r="162" spans="1:7" x14ac:dyDescent="0.35">
      <c r="A162" s="4">
        <v>20902</v>
      </c>
      <c r="B162" s="6" t="s">
        <v>175</v>
      </c>
      <c r="C162" s="5" t="s">
        <v>165</v>
      </c>
      <c r="D162" s="4">
        <v>206</v>
      </c>
      <c r="E162" s="2">
        <v>4</v>
      </c>
      <c r="F162" s="3">
        <f t="shared" si="4"/>
        <v>1.3733333333333333</v>
      </c>
      <c r="G162" s="3">
        <f t="shared" si="5"/>
        <v>5.3733333333333331</v>
      </c>
    </row>
    <row r="163" spans="1:7" x14ac:dyDescent="0.35">
      <c r="A163" s="4">
        <v>21009</v>
      </c>
      <c r="B163" s="6" t="s">
        <v>176</v>
      </c>
      <c r="C163" s="5" t="s">
        <v>165</v>
      </c>
      <c r="D163" s="4">
        <v>475</v>
      </c>
      <c r="E163" s="2">
        <v>4</v>
      </c>
      <c r="F163" s="3">
        <f t="shared" si="4"/>
        <v>3.1666666666666665</v>
      </c>
      <c r="G163" s="3">
        <f t="shared" si="5"/>
        <v>7.1666666666666661</v>
      </c>
    </row>
    <row r="164" spans="1:7" x14ac:dyDescent="0.35">
      <c r="A164" s="4">
        <v>21106</v>
      </c>
      <c r="B164" s="6" t="s">
        <v>177</v>
      </c>
      <c r="C164" s="5" t="s">
        <v>165</v>
      </c>
      <c r="D164" s="4">
        <v>215</v>
      </c>
      <c r="E164" s="2">
        <v>4</v>
      </c>
      <c r="F164" s="3">
        <f t="shared" si="4"/>
        <v>1.4333333333333333</v>
      </c>
      <c r="G164" s="3">
        <f t="shared" si="5"/>
        <v>5.4333333333333336</v>
      </c>
    </row>
    <row r="165" spans="1:7" x14ac:dyDescent="0.35">
      <c r="A165" s="4">
        <v>21108</v>
      </c>
      <c r="B165" s="6" t="s">
        <v>178</v>
      </c>
      <c r="C165" s="5" t="s">
        <v>165</v>
      </c>
      <c r="D165" s="4">
        <v>211</v>
      </c>
      <c r="E165" s="2">
        <v>4</v>
      </c>
      <c r="F165" s="3">
        <f t="shared" si="4"/>
        <v>1.4066666666666667</v>
      </c>
      <c r="G165" s="3">
        <f t="shared" si="5"/>
        <v>5.4066666666666663</v>
      </c>
    </row>
    <row r="166" spans="1:7" x14ac:dyDescent="0.35">
      <c r="A166" s="4">
        <v>21104</v>
      </c>
      <c r="B166" s="6" t="s">
        <v>179</v>
      </c>
      <c r="C166" s="5" t="s">
        <v>165</v>
      </c>
      <c r="D166" s="4">
        <v>326</v>
      </c>
      <c r="E166" s="2">
        <v>4</v>
      </c>
      <c r="F166" s="3">
        <f t="shared" si="4"/>
        <v>2.1733333333333333</v>
      </c>
      <c r="G166" s="3">
        <f t="shared" si="5"/>
        <v>6.1733333333333338</v>
      </c>
    </row>
    <row r="167" spans="1:7" x14ac:dyDescent="0.35">
      <c r="A167" s="4">
        <v>322501</v>
      </c>
      <c r="B167" s="6" t="s">
        <v>180</v>
      </c>
      <c r="C167" s="5" t="s">
        <v>165</v>
      </c>
      <c r="D167" s="4">
        <v>185</v>
      </c>
      <c r="E167" s="2">
        <v>4</v>
      </c>
      <c r="F167" s="3">
        <f t="shared" si="4"/>
        <v>1.2333333333333334</v>
      </c>
      <c r="G167" s="3">
        <f t="shared" si="5"/>
        <v>5.2333333333333334</v>
      </c>
    </row>
    <row r="168" spans="1:7" x14ac:dyDescent="0.35">
      <c r="A168" s="4">
        <v>320104</v>
      </c>
      <c r="B168" s="6" t="s">
        <v>181</v>
      </c>
      <c r="C168" s="5" t="s">
        <v>165</v>
      </c>
      <c r="D168" s="4">
        <v>210</v>
      </c>
      <c r="E168" s="2">
        <v>4</v>
      </c>
      <c r="F168" s="3">
        <f t="shared" si="4"/>
        <v>1.4</v>
      </c>
      <c r="G168" s="3">
        <f t="shared" si="5"/>
        <v>5.4</v>
      </c>
    </row>
    <row r="169" spans="1:7" x14ac:dyDescent="0.35">
      <c r="A169" s="4">
        <v>320101</v>
      </c>
      <c r="B169" s="6" t="s">
        <v>182</v>
      </c>
      <c r="C169" s="5" t="s">
        <v>165</v>
      </c>
      <c r="D169" s="4">
        <v>283</v>
      </c>
      <c r="E169" s="2">
        <v>4</v>
      </c>
      <c r="F169" s="3">
        <f t="shared" si="4"/>
        <v>1.8866666666666667</v>
      </c>
      <c r="G169" s="3">
        <f t="shared" si="5"/>
        <v>5.8866666666666667</v>
      </c>
    </row>
    <row r="170" spans="1:7" x14ac:dyDescent="0.35">
      <c r="A170" s="4">
        <v>320106</v>
      </c>
      <c r="B170" s="6" t="s">
        <v>183</v>
      </c>
      <c r="C170" s="5" t="s">
        <v>165</v>
      </c>
      <c r="D170" s="4">
        <v>325</v>
      </c>
      <c r="E170" s="2">
        <v>4</v>
      </c>
      <c r="F170" s="3">
        <f t="shared" si="4"/>
        <v>2.1666666666666665</v>
      </c>
      <c r="G170" s="3">
        <f t="shared" si="5"/>
        <v>6.1666666666666661</v>
      </c>
    </row>
    <row r="171" spans="1:7" x14ac:dyDescent="0.35">
      <c r="A171" s="4">
        <v>320203</v>
      </c>
      <c r="B171" s="6" t="s">
        <v>184</v>
      </c>
      <c r="C171" s="5" t="s">
        <v>165</v>
      </c>
      <c r="D171" s="4">
        <v>175</v>
      </c>
      <c r="E171" s="2">
        <v>4</v>
      </c>
      <c r="F171" s="3">
        <f t="shared" si="4"/>
        <v>1.1666666666666667</v>
      </c>
      <c r="G171" s="3">
        <f t="shared" si="5"/>
        <v>5.166666666666667</v>
      </c>
    </row>
    <row r="172" spans="1:7" x14ac:dyDescent="0.35">
      <c r="A172" s="4">
        <v>320204</v>
      </c>
      <c r="B172" s="6" t="s">
        <v>185</v>
      </c>
      <c r="C172" s="5" t="s">
        <v>165</v>
      </c>
      <c r="D172" s="4">
        <v>87</v>
      </c>
      <c r="E172" s="2">
        <v>4</v>
      </c>
      <c r="F172" s="3">
        <f t="shared" si="4"/>
        <v>0.57999999999999996</v>
      </c>
      <c r="G172" s="3">
        <f t="shared" si="5"/>
        <v>4.58</v>
      </c>
    </row>
    <row r="173" spans="1:7" x14ac:dyDescent="0.35">
      <c r="A173" s="4">
        <v>320213</v>
      </c>
      <c r="B173" s="6" t="s">
        <v>186</v>
      </c>
      <c r="C173" s="5" t="s">
        <v>165</v>
      </c>
      <c r="D173" s="4">
        <v>174</v>
      </c>
      <c r="E173" s="2">
        <v>4</v>
      </c>
      <c r="F173" s="3">
        <f t="shared" si="4"/>
        <v>1.1599999999999999</v>
      </c>
      <c r="G173" s="3">
        <f t="shared" si="5"/>
        <v>5.16</v>
      </c>
    </row>
    <row r="174" spans="1:7" x14ac:dyDescent="0.35">
      <c r="A174" s="4">
        <v>320401</v>
      </c>
      <c r="B174" s="6" t="s">
        <v>187</v>
      </c>
      <c r="C174" s="5" t="s">
        <v>165</v>
      </c>
      <c r="D174" s="4">
        <v>100</v>
      </c>
      <c r="E174" s="2">
        <v>4</v>
      </c>
      <c r="F174" s="3">
        <f t="shared" si="4"/>
        <v>0.66666666666666663</v>
      </c>
      <c r="G174" s="3">
        <f t="shared" si="5"/>
        <v>4.666666666666667</v>
      </c>
    </row>
    <row r="175" spans="1:7" x14ac:dyDescent="0.35">
      <c r="A175" s="4">
        <v>320502</v>
      </c>
      <c r="B175" s="6" t="s">
        <v>188</v>
      </c>
      <c r="C175" s="5" t="s">
        <v>165</v>
      </c>
      <c r="D175" s="4">
        <v>265</v>
      </c>
      <c r="E175" s="2">
        <v>4</v>
      </c>
      <c r="F175" s="3">
        <f t="shared" si="4"/>
        <v>1.7666666666666666</v>
      </c>
      <c r="G175" s="3">
        <f t="shared" si="5"/>
        <v>5.7666666666666666</v>
      </c>
    </row>
    <row r="176" spans="1:7" x14ac:dyDescent="0.35">
      <c r="A176" s="4">
        <v>320503</v>
      </c>
      <c r="B176" s="6" t="s">
        <v>189</v>
      </c>
      <c r="C176" s="5" t="s">
        <v>165</v>
      </c>
      <c r="D176" s="4">
        <v>174</v>
      </c>
      <c r="E176" s="2">
        <v>4</v>
      </c>
      <c r="F176" s="3">
        <f t="shared" si="4"/>
        <v>1.1599999999999999</v>
      </c>
      <c r="G176" s="3">
        <f t="shared" si="5"/>
        <v>5.16</v>
      </c>
    </row>
    <row r="177" spans="1:7" x14ac:dyDescent="0.35">
      <c r="A177" s="4">
        <v>320601</v>
      </c>
      <c r="B177" s="6" t="s">
        <v>190</v>
      </c>
      <c r="C177" s="5" t="s">
        <v>165</v>
      </c>
      <c r="D177" s="4">
        <v>122</v>
      </c>
      <c r="E177" s="2">
        <v>4</v>
      </c>
      <c r="F177" s="3">
        <f t="shared" si="4"/>
        <v>0.81333333333333335</v>
      </c>
      <c r="G177" s="3">
        <f t="shared" si="5"/>
        <v>4.8133333333333335</v>
      </c>
    </row>
    <row r="178" spans="1:7" x14ac:dyDescent="0.35">
      <c r="A178" s="4">
        <v>320605</v>
      </c>
      <c r="B178" s="6" t="s">
        <v>191</v>
      </c>
      <c r="C178" s="5" t="s">
        <v>165</v>
      </c>
      <c r="D178" s="4">
        <v>102</v>
      </c>
      <c r="E178" s="2">
        <v>4</v>
      </c>
      <c r="F178" s="3">
        <f t="shared" si="4"/>
        <v>0.68</v>
      </c>
      <c r="G178" s="3">
        <f t="shared" si="5"/>
        <v>4.68</v>
      </c>
    </row>
    <row r="179" spans="1:7" x14ac:dyDescent="0.35">
      <c r="A179" s="4">
        <v>321101</v>
      </c>
      <c r="B179" s="6" t="s">
        <v>192</v>
      </c>
      <c r="C179" s="5" t="s">
        <v>165</v>
      </c>
      <c r="D179" s="4">
        <v>127</v>
      </c>
      <c r="E179" s="2">
        <v>4</v>
      </c>
      <c r="F179" s="3">
        <f t="shared" si="4"/>
        <v>0.84666666666666668</v>
      </c>
      <c r="G179" s="3">
        <f t="shared" si="5"/>
        <v>4.8466666666666667</v>
      </c>
    </row>
    <row r="180" spans="1:7" x14ac:dyDescent="0.35">
      <c r="A180" s="4">
        <v>320803</v>
      </c>
      <c r="B180" s="6" t="s">
        <v>193</v>
      </c>
      <c r="C180" s="5" t="s">
        <v>165</v>
      </c>
      <c r="D180" s="4">
        <v>275</v>
      </c>
      <c r="E180" s="2">
        <v>4</v>
      </c>
      <c r="F180" s="3">
        <f t="shared" si="4"/>
        <v>1.8333333333333333</v>
      </c>
      <c r="G180" s="3">
        <f t="shared" si="5"/>
        <v>5.833333333333333</v>
      </c>
    </row>
    <row r="181" spans="1:7" x14ac:dyDescent="0.35">
      <c r="A181" s="4">
        <v>320704</v>
      </c>
      <c r="B181" s="6" t="s">
        <v>194</v>
      </c>
      <c r="C181" s="5" t="s">
        <v>165</v>
      </c>
      <c r="D181" s="4">
        <v>172</v>
      </c>
      <c r="E181" s="2">
        <v>4</v>
      </c>
      <c r="F181" s="3">
        <f t="shared" si="4"/>
        <v>1.1466666666666667</v>
      </c>
      <c r="G181" s="3">
        <f t="shared" si="5"/>
        <v>5.1466666666666665</v>
      </c>
    </row>
    <row r="182" spans="1:7" x14ac:dyDescent="0.35">
      <c r="A182" s="4">
        <v>320703</v>
      </c>
      <c r="B182" s="6" t="s">
        <v>195</v>
      </c>
      <c r="C182" s="5" t="s">
        <v>165</v>
      </c>
      <c r="D182" s="4">
        <v>150</v>
      </c>
      <c r="E182" s="2">
        <v>4</v>
      </c>
      <c r="F182" s="3">
        <f t="shared" si="4"/>
        <v>1</v>
      </c>
      <c r="G182" s="3">
        <f t="shared" si="5"/>
        <v>5</v>
      </c>
    </row>
    <row r="183" spans="1:7" x14ac:dyDescent="0.35">
      <c r="A183" s="4">
        <v>320702</v>
      </c>
      <c r="B183" s="6" t="s">
        <v>196</v>
      </c>
      <c r="C183" s="5" t="s">
        <v>165</v>
      </c>
      <c r="D183" s="4">
        <v>131</v>
      </c>
      <c r="E183" s="2">
        <v>4</v>
      </c>
      <c r="F183" s="3">
        <f t="shared" si="4"/>
        <v>0.87333333333333329</v>
      </c>
      <c r="G183" s="3">
        <f t="shared" si="5"/>
        <v>4.8733333333333331</v>
      </c>
    </row>
    <row r="184" spans="1:7" x14ac:dyDescent="0.35">
      <c r="A184" s="4">
        <v>320901</v>
      </c>
      <c r="B184" s="6" t="s">
        <v>197</v>
      </c>
      <c r="C184" s="5" t="s">
        <v>165</v>
      </c>
      <c r="D184" s="4">
        <v>135</v>
      </c>
      <c r="E184" s="2">
        <v>4</v>
      </c>
      <c r="F184" s="3">
        <f t="shared" si="4"/>
        <v>0.9</v>
      </c>
      <c r="G184" s="3">
        <f t="shared" si="5"/>
        <v>4.9000000000000004</v>
      </c>
    </row>
    <row r="185" spans="1:7" x14ac:dyDescent="0.35">
      <c r="A185" s="4">
        <v>330102</v>
      </c>
      <c r="B185" s="6" t="s">
        <v>198</v>
      </c>
      <c r="C185" s="5" t="s">
        <v>165</v>
      </c>
      <c r="D185" s="4">
        <v>180</v>
      </c>
      <c r="E185" s="2">
        <v>4</v>
      </c>
      <c r="F185" s="3">
        <f t="shared" si="4"/>
        <v>1.2</v>
      </c>
      <c r="G185" s="3">
        <f t="shared" si="5"/>
        <v>5.2</v>
      </c>
    </row>
    <row r="186" spans="1:7" x14ac:dyDescent="0.35">
      <c r="A186" s="4">
        <v>330113</v>
      </c>
      <c r="B186" s="6" t="s">
        <v>199</v>
      </c>
      <c r="C186" s="5" t="s">
        <v>165</v>
      </c>
      <c r="D186" s="4">
        <v>861</v>
      </c>
      <c r="E186" s="2">
        <v>4</v>
      </c>
      <c r="F186" s="3">
        <f t="shared" si="4"/>
        <v>5.74</v>
      </c>
      <c r="G186" s="3">
        <f t="shared" si="5"/>
        <v>9.74</v>
      </c>
    </row>
    <row r="187" spans="1:7" x14ac:dyDescent="0.35">
      <c r="A187" s="4">
        <v>330104</v>
      </c>
      <c r="B187" s="6" t="s">
        <v>200</v>
      </c>
      <c r="C187" s="5" t="s">
        <v>165</v>
      </c>
      <c r="D187" s="4">
        <v>396</v>
      </c>
      <c r="E187" s="2">
        <v>4</v>
      </c>
      <c r="F187" s="3">
        <f t="shared" si="4"/>
        <v>2.64</v>
      </c>
      <c r="G187" s="3">
        <f t="shared" si="5"/>
        <v>6.6400000000000006</v>
      </c>
    </row>
    <row r="188" spans="1:7" x14ac:dyDescent="0.35">
      <c r="A188" s="4">
        <v>330105</v>
      </c>
      <c r="B188" s="6" t="s">
        <v>201</v>
      </c>
      <c r="C188" s="5" t="s">
        <v>165</v>
      </c>
      <c r="D188" s="4">
        <v>169</v>
      </c>
      <c r="E188" s="2">
        <v>4</v>
      </c>
      <c r="F188" s="3">
        <f t="shared" si="4"/>
        <v>1.1266666666666667</v>
      </c>
      <c r="G188" s="3">
        <f t="shared" si="5"/>
        <v>5.1266666666666669</v>
      </c>
    </row>
    <row r="189" spans="1:7" x14ac:dyDescent="0.35">
      <c r="A189" s="4">
        <v>330107</v>
      </c>
      <c r="B189" s="6" t="s">
        <v>202</v>
      </c>
      <c r="C189" s="5" t="s">
        <v>165</v>
      </c>
      <c r="D189" s="4">
        <v>145</v>
      </c>
      <c r="E189" s="2">
        <v>4</v>
      </c>
      <c r="F189" s="3">
        <f t="shared" si="4"/>
        <v>0.96666666666666667</v>
      </c>
      <c r="G189" s="3">
        <f t="shared" si="5"/>
        <v>4.9666666666666668</v>
      </c>
    </row>
    <row r="190" spans="1:7" x14ac:dyDescent="0.35">
      <c r="A190" s="4">
        <v>330115</v>
      </c>
      <c r="B190" s="6" t="s">
        <v>203</v>
      </c>
      <c r="C190" s="5" t="s">
        <v>165</v>
      </c>
      <c r="D190" s="4">
        <v>371</v>
      </c>
      <c r="E190" s="2">
        <v>4</v>
      </c>
      <c r="F190" s="3">
        <f t="shared" si="4"/>
        <v>2.4733333333333332</v>
      </c>
      <c r="G190" s="3">
        <f t="shared" si="5"/>
        <v>6.4733333333333327</v>
      </c>
    </row>
    <row r="191" spans="1:7" x14ac:dyDescent="0.35">
      <c r="A191" s="4">
        <v>330103</v>
      </c>
      <c r="B191" s="6" t="s">
        <v>204</v>
      </c>
      <c r="C191" s="5" t="s">
        <v>165</v>
      </c>
      <c r="D191" s="4">
        <v>172</v>
      </c>
      <c r="E191" s="2">
        <v>4</v>
      </c>
      <c r="F191" s="3">
        <f t="shared" si="4"/>
        <v>1.1466666666666667</v>
      </c>
      <c r="G191" s="3">
        <f t="shared" si="5"/>
        <v>5.1466666666666665</v>
      </c>
    </row>
    <row r="192" spans="1:7" x14ac:dyDescent="0.35">
      <c r="A192" s="4">
        <v>330112</v>
      </c>
      <c r="B192" s="6" t="s">
        <v>205</v>
      </c>
      <c r="C192" s="5" t="s">
        <v>165</v>
      </c>
      <c r="D192" s="4">
        <v>246</v>
      </c>
      <c r="E192" s="2">
        <v>4</v>
      </c>
      <c r="F192" s="3">
        <f t="shared" si="4"/>
        <v>1.64</v>
      </c>
      <c r="G192" s="3">
        <f t="shared" si="5"/>
        <v>5.64</v>
      </c>
    </row>
    <row r="193" spans="1:7" x14ac:dyDescent="0.35">
      <c r="A193" s="4">
        <v>330202</v>
      </c>
      <c r="B193" s="6" t="s">
        <v>206</v>
      </c>
      <c r="C193" s="5" t="s">
        <v>165</v>
      </c>
      <c r="D193" s="4">
        <v>238</v>
      </c>
      <c r="E193" s="2">
        <v>4</v>
      </c>
      <c r="F193" s="3">
        <f t="shared" si="4"/>
        <v>1.5866666666666667</v>
      </c>
      <c r="G193" s="3">
        <f t="shared" si="5"/>
        <v>5.5866666666666669</v>
      </c>
    </row>
    <row r="194" spans="1:7" x14ac:dyDescent="0.35">
      <c r="A194" s="4">
        <v>330501</v>
      </c>
      <c r="B194" s="6" t="s">
        <v>207</v>
      </c>
      <c r="C194" s="5" t="s">
        <v>165</v>
      </c>
      <c r="D194" s="4">
        <v>354</v>
      </c>
      <c r="E194" s="2">
        <v>4</v>
      </c>
      <c r="F194" s="3">
        <f t="shared" si="4"/>
        <v>2.36</v>
      </c>
      <c r="G194" s="3">
        <f t="shared" si="5"/>
        <v>6.3599999999999994</v>
      </c>
    </row>
    <row r="195" spans="1:7" x14ac:dyDescent="0.35">
      <c r="A195" s="4">
        <v>330504</v>
      </c>
      <c r="B195" s="6" t="s">
        <v>208</v>
      </c>
      <c r="C195" s="5" t="s">
        <v>165</v>
      </c>
      <c r="D195" s="4">
        <v>140</v>
      </c>
      <c r="E195" s="2">
        <v>4</v>
      </c>
      <c r="F195" s="3">
        <f t="shared" ref="F195:F222" si="6">D195/150</f>
        <v>0.93333333333333335</v>
      </c>
      <c r="G195" s="3">
        <f t="shared" ref="G195:G222" si="7">E195+F195</f>
        <v>4.9333333333333336</v>
      </c>
    </row>
    <row r="196" spans="1:7" x14ac:dyDescent="0.35">
      <c r="A196" s="4">
        <v>110103</v>
      </c>
      <c r="B196" s="6" t="s">
        <v>210</v>
      </c>
      <c r="C196" s="9" t="s">
        <v>209</v>
      </c>
      <c r="D196" s="4">
        <v>110</v>
      </c>
      <c r="E196" s="2">
        <v>4</v>
      </c>
      <c r="F196" s="3">
        <f t="shared" si="6"/>
        <v>0.73333333333333328</v>
      </c>
      <c r="G196" s="3">
        <f t="shared" si="7"/>
        <v>4.7333333333333334</v>
      </c>
    </row>
    <row r="197" spans="1:7" x14ac:dyDescent="0.35">
      <c r="A197" s="4">
        <v>120302</v>
      </c>
      <c r="B197" s="6" t="s">
        <v>211</v>
      </c>
      <c r="C197" s="5" t="s">
        <v>209</v>
      </c>
      <c r="D197" s="4">
        <v>1137</v>
      </c>
      <c r="E197" s="2">
        <v>4</v>
      </c>
      <c r="F197" s="3">
        <f t="shared" si="6"/>
        <v>7.58</v>
      </c>
      <c r="G197" s="3">
        <f t="shared" si="7"/>
        <v>11.58</v>
      </c>
    </row>
    <row r="198" spans="1:7" x14ac:dyDescent="0.35">
      <c r="A198" s="4">
        <v>120501</v>
      </c>
      <c r="B198" s="6" t="s">
        <v>212</v>
      </c>
      <c r="C198" s="9" t="s">
        <v>209</v>
      </c>
      <c r="D198" s="4">
        <v>208</v>
      </c>
      <c r="E198" s="2">
        <v>4</v>
      </c>
      <c r="F198" s="3">
        <f t="shared" si="6"/>
        <v>1.3866666666666667</v>
      </c>
      <c r="G198" s="3">
        <f t="shared" si="7"/>
        <v>5.3866666666666667</v>
      </c>
    </row>
    <row r="199" spans="1:7" x14ac:dyDescent="0.35">
      <c r="A199" s="4">
        <v>120603</v>
      </c>
      <c r="B199" s="6" t="s">
        <v>213</v>
      </c>
      <c r="C199" s="9" t="s">
        <v>209</v>
      </c>
      <c r="D199" s="4">
        <v>141</v>
      </c>
      <c r="E199" s="2">
        <v>4</v>
      </c>
      <c r="F199" s="3">
        <f t="shared" si="6"/>
        <v>0.94</v>
      </c>
      <c r="G199" s="3">
        <f t="shared" si="7"/>
        <v>4.9399999999999995</v>
      </c>
    </row>
    <row r="200" spans="1:7" x14ac:dyDescent="0.35">
      <c r="A200" s="4">
        <v>120704</v>
      </c>
      <c r="B200" s="6" t="s">
        <v>214</v>
      </c>
      <c r="C200" s="9" t="s">
        <v>209</v>
      </c>
      <c r="D200" s="4">
        <v>207</v>
      </c>
      <c r="E200" s="2">
        <v>4</v>
      </c>
      <c r="F200" s="3">
        <f t="shared" si="6"/>
        <v>1.38</v>
      </c>
      <c r="G200" s="3">
        <f t="shared" si="7"/>
        <v>5.38</v>
      </c>
    </row>
    <row r="201" spans="1:7" x14ac:dyDescent="0.35">
      <c r="A201" s="4">
        <v>220102</v>
      </c>
      <c r="B201" s="6" t="s">
        <v>215</v>
      </c>
      <c r="C201" s="5" t="s">
        <v>209</v>
      </c>
      <c r="D201" s="4">
        <v>151</v>
      </c>
      <c r="E201" s="2">
        <v>4</v>
      </c>
      <c r="F201" s="3">
        <f t="shared" si="6"/>
        <v>1.0066666666666666</v>
      </c>
      <c r="G201" s="3">
        <f t="shared" si="7"/>
        <v>5.0066666666666668</v>
      </c>
    </row>
    <row r="202" spans="1:7" x14ac:dyDescent="0.35">
      <c r="A202" s="4">
        <v>220105</v>
      </c>
      <c r="B202" s="6" t="s">
        <v>216</v>
      </c>
      <c r="C202" s="5" t="s">
        <v>209</v>
      </c>
      <c r="D202" s="4">
        <v>235</v>
      </c>
      <c r="E202" s="2">
        <v>4</v>
      </c>
      <c r="F202" s="3">
        <f t="shared" si="6"/>
        <v>1.5666666666666667</v>
      </c>
      <c r="G202" s="3">
        <f t="shared" si="7"/>
        <v>5.5666666666666664</v>
      </c>
    </row>
    <row r="203" spans="1:7" x14ac:dyDescent="0.35">
      <c r="A203" s="4">
        <v>220202</v>
      </c>
      <c r="B203" s="6" t="s">
        <v>217</v>
      </c>
      <c r="C203" s="5" t="s">
        <v>209</v>
      </c>
      <c r="D203" s="4">
        <v>153</v>
      </c>
      <c r="E203" s="2">
        <v>4</v>
      </c>
      <c r="F203" s="3">
        <f t="shared" si="6"/>
        <v>1.02</v>
      </c>
      <c r="G203" s="3">
        <f t="shared" si="7"/>
        <v>5.0199999999999996</v>
      </c>
    </row>
    <row r="204" spans="1:7" x14ac:dyDescent="0.35">
      <c r="A204" s="4">
        <v>220302</v>
      </c>
      <c r="B204" s="6" t="s">
        <v>218</v>
      </c>
      <c r="C204" s="5" t="s">
        <v>209</v>
      </c>
      <c r="D204" s="4">
        <v>175</v>
      </c>
      <c r="E204" s="2">
        <v>4</v>
      </c>
      <c r="F204" s="3">
        <f t="shared" si="6"/>
        <v>1.1666666666666667</v>
      </c>
      <c r="G204" s="3">
        <f t="shared" si="7"/>
        <v>5.166666666666667</v>
      </c>
    </row>
    <row r="205" spans="1:7" x14ac:dyDescent="0.35">
      <c r="A205" s="4">
        <v>220411</v>
      </c>
      <c r="B205" s="6" t="s">
        <v>219</v>
      </c>
      <c r="C205" s="5" t="s">
        <v>209</v>
      </c>
      <c r="D205" s="4">
        <v>413</v>
      </c>
      <c r="E205" s="2">
        <v>4</v>
      </c>
      <c r="F205" s="3">
        <f t="shared" si="6"/>
        <v>2.7533333333333334</v>
      </c>
      <c r="G205" s="3">
        <f t="shared" si="7"/>
        <v>6.7533333333333339</v>
      </c>
    </row>
    <row r="206" spans="1:7" x14ac:dyDescent="0.35">
      <c r="A206" s="4">
        <v>220520</v>
      </c>
      <c r="B206" s="6" t="s">
        <v>220</v>
      </c>
      <c r="C206" s="5" t="s">
        <v>209</v>
      </c>
      <c r="D206" s="4">
        <v>80</v>
      </c>
      <c r="E206" s="2">
        <v>4</v>
      </c>
      <c r="F206" s="3">
        <f t="shared" si="6"/>
        <v>0.53333333333333333</v>
      </c>
      <c r="G206" s="3">
        <f t="shared" si="7"/>
        <v>4.5333333333333332</v>
      </c>
    </row>
    <row r="207" spans="1:7" x14ac:dyDescent="0.35">
      <c r="A207" s="4">
        <v>220503</v>
      </c>
      <c r="B207" s="6" t="s">
        <v>221</v>
      </c>
      <c r="C207" s="5" t="s">
        <v>209</v>
      </c>
      <c r="D207" s="4">
        <v>232</v>
      </c>
      <c r="E207" s="2">
        <v>4</v>
      </c>
      <c r="F207" s="3">
        <f t="shared" si="6"/>
        <v>1.5466666666666666</v>
      </c>
      <c r="G207" s="3">
        <f t="shared" si="7"/>
        <v>5.5466666666666669</v>
      </c>
    </row>
    <row r="208" spans="1:7" x14ac:dyDescent="0.35">
      <c r="A208" s="4">
        <v>220507</v>
      </c>
      <c r="B208" s="6" t="s">
        <v>222</v>
      </c>
      <c r="C208" s="5" t="s">
        <v>209</v>
      </c>
      <c r="D208" s="4">
        <v>86</v>
      </c>
      <c r="E208" s="2">
        <v>4</v>
      </c>
      <c r="F208" s="3">
        <f t="shared" si="6"/>
        <v>0.57333333333333336</v>
      </c>
      <c r="G208" s="3">
        <f t="shared" si="7"/>
        <v>4.5733333333333333</v>
      </c>
    </row>
    <row r="209" spans="1:7" x14ac:dyDescent="0.35">
      <c r="A209" s="4">
        <v>220510</v>
      </c>
      <c r="B209" s="6" t="s">
        <v>223</v>
      </c>
      <c r="C209" s="5" t="s">
        <v>209</v>
      </c>
      <c r="D209" s="4">
        <v>200</v>
      </c>
      <c r="E209" s="2">
        <v>4</v>
      </c>
      <c r="F209" s="3">
        <f t="shared" si="6"/>
        <v>1.3333333333333333</v>
      </c>
      <c r="G209" s="3">
        <f t="shared" si="7"/>
        <v>5.333333333333333</v>
      </c>
    </row>
    <row r="210" spans="1:7" x14ac:dyDescent="0.35">
      <c r="A210" s="4">
        <v>220519</v>
      </c>
      <c r="B210" s="6" t="s">
        <v>224</v>
      </c>
      <c r="C210" s="5" t="s">
        <v>209</v>
      </c>
      <c r="D210" s="4">
        <v>80</v>
      </c>
      <c r="E210" s="2">
        <v>4</v>
      </c>
      <c r="F210" s="3">
        <f t="shared" si="6"/>
        <v>0.53333333333333333</v>
      </c>
      <c r="G210" s="3">
        <f t="shared" si="7"/>
        <v>4.5333333333333332</v>
      </c>
    </row>
    <row r="211" spans="1:7" x14ac:dyDescent="0.35">
      <c r="A211" s="4">
        <v>220608</v>
      </c>
      <c r="B211" s="6" t="s">
        <v>225</v>
      </c>
      <c r="C211" s="5" t="s">
        <v>209</v>
      </c>
      <c r="D211" s="4">
        <v>174</v>
      </c>
      <c r="E211" s="2">
        <v>4</v>
      </c>
      <c r="F211" s="3">
        <f t="shared" si="6"/>
        <v>1.1599999999999999</v>
      </c>
      <c r="G211" s="3">
        <f t="shared" si="7"/>
        <v>5.16</v>
      </c>
    </row>
    <row r="212" spans="1:7" x14ac:dyDescent="0.35">
      <c r="A212" s="4">
        <v>220614</v>
      </c>
      <c r="B212" s="6" t="s">
        <v>226</v>
      </c>
      <c r="C212" s="5" t="s">
        <v>209</v>
      </c>
      <c r="D212" s="4">
        <v>278</v>
      </c>
      <c r="E212" s="2">
        <v>4</v>
      </c>
      <c r="F212" s="3">
        <f t="shared" si="6"/>
        <v>1.8533333333333333</v>
      </c>
      <c r="G212" s="3">
        <f t="shared" si="7"/>
        <v>5.8533333333333335</v>
      </c>
    </row>
    <row r="213" spans="1:7" x14ac:dyDescent="0.35">
      <c r="A213" s="4">
        <v>220606</v>
      </c>
      <c r="B213" s="6" t="s">
        <v>227</v>
      </c>
      <c r="C213" s="5" t="s">
        <v>209</v>
      </c>
      <c r="D213" s="4">
        <v>323</v>
      </c>
      <c r="E213" s="2">
        <v>4</v>
      </c>
      <c r="F213" s="3">
        <f t="shared" si="6"/>
        <v>2.1533333333333333</v>
      </c>
      <c r="G213" s="3">
        <f t="shared" si="7"/>
        <v>6.1533333333333333</v>
      </c>
    </row>
    <row r="214" spans="1:7" x14ac:dyDescent="0.35">
      <c r="A214" s="4">
        <v>220705</v>
      </c>
      <c r="B214" s="6" t="s">
        <v>228</v>
      </c>
      <c r="C214" s="5" t="s">
        <v>209</v>
      </c>
      <c r="D214" s="4">
        <v>80</v>
      </c>
      <c r="E214" s="2">
        <v>4</v>
      </c>
      <c r="F214" s="3">
        <f t="shared" si="6"/>
        <v>0.53333333333333333</v>
      </c>
      <c r="G214" s="3">
        <f t="shared" si="7"/>
        <v>4.5333333333333332</v>
      </c>
    </row>
    <row r="215" spans="1:7" x14ac:dyDescent="0.35">
      <c r="A215" s="4">
        <v>220707</v>
      </c>
      <c r="B215" s="6" t="s">
        <v>229</v>
      </c>
      <c r="C215" s="9" t="s">
        <v>209</v>
      </c>
      <c r="D215" s="4">
        <v>278</v>
      </c>
      <c r="E215" s="2">
        <v>4</v>
      </c>
      <c r="F215" s="3">
        <f t="shared" si="6"/>
        <v>1.8533333333333333</v>
      </c>
      <c r="G215" s="3">
        <f t="shared" si="7"/>
        <v>5.8533333333333335</v>
      </c>
    </row>
    <row r="216" spans="1:7" x14ac:dyDescent="0.35">
      <c r="A216" s="4">
        <v>220803</v>
      </c>
      <c r="B216" s="6" t="s">
        <v>230</v>
      </c>
      <c r="C216" s="9" t="s">
        <v>209</v>
      </c>
      <c r="D216" s="4">
        <v>472</v>
      </c>
      <c r="E216" s="2">
        <v>4</v>
      </c>
      <c r="F216" s="3">
        <f t="shared" si="6"/>
        <v>3.1466666666666665</v>
      </c>
      <c r="G216" s="3">
        <f t="shared" si="7"/>
        <v>7.1466666666666665</v>
      </c>
    </row>
    <row r="217" spans="1:7" x14ac:dyDescent="0.35">
      <c r="A217" s="4">
        <v>220901</v>
      </c>
      <c r="B217" s="6" t="s">
        <v>231</v>
      </c>
      <c r="C217" s="9" t="s">
        <v>209</v>
      </c>
      <c r="D217" s="4">
        <v>174</v>
      </c>
      <c r="E217" s="2">
        <v>4</v>
      </c>
      <c r="F217" s="3">
        <f t="shared" si="6"/>
        <v>1.1599999999999999</v>
      </c>
      <c r="G217" s="3">
        <f t="shared" si="7"/>
        <v>5.16</v>
      </c>
    </row>
    <row r="218" spans="1:7" x14ac:dyDescent="0.35">
      <c r="A218" s="4">
        <v>220903</v>
      </c>
      <c r="B218" s="6" t="s">
        <v>232</v>
      </c>
      <c r="C218" s="9" t="s">
        <v>209</v>
      </c>
      <c r="D218" s="4">
        <v>192</v>
      </c>
      <c r="E218" s="2">
        <v>4</v>
      </c>
      <c r="F218" s="3">
        <f t="shared" si="6"/>
        <v>1.28</v>
      </c>
      <c r="G218" s="3">
        <f t="shared" si="7"/>
        <v>5.28</v>
      </c>
    </row>
    <row r="219" spans="1:7" x14ac:dyDescent="0.35">
      <c r="A219" s="4">
        <v>220909</v>
      </c>
      <c r="B219" s="6" t="s">
        <v>233</v>
      </c>
      <c r="C219" s="9" t="s">
        <v>209</v>
      </c>
      <c r="D219" s="4">
        <v>191</v>
      </c>
      <c r="E219" s="2">
        <v>4</v>
      </c>
      <c r="F219" s="3">
        <f t="shared" si="6"/>
        <v>1.2733333333333334</v>
      </c>
      <c r="G219" s="3">
        <f t="shared" si="7"/>
        <v>5.2733333333333334</v>
      </c>
    </row>
    <row r="220" spans="1:7" x14ac:dyDescent="0.35">
      <c r="A220" s="4">
        <v>220910</v>
      </c>
      <c r="B220" s="6" t="s">
        <v>234</v>
      </c>
      <c r="C220" s="9" t="s">
        <v>209</v>
      </c>
      <c r="D220" s="4">
        <v>141</v>
      </c>
      <c r="E220" s="2">
        <v>4</v>
      </c>
      <c r="F220" s="3">
        <f t="shared" si="6"/>
        <v>0.94</v>
      </c>
      <c r="G220" s="3">
        <f t="shared" si="7"/>
        <v>4.9399999999999995</v>
      </c>
    </row>
    <row r="221" spans="1:7" x14ac:dyDescent="0.35">
      <c r="A221" s="4">
        <v>220921</v>
      </c>
      <c r="B221" s="6" t="s">
        <v>235</v>
      </c>
      <c r="C221" s="5" t="s">
        <v>209</v>
      </c>
      <c r="D221" s="4">
        <v>180</v>
      </c>
      <c r="E221" s="2">
        <v>4</v>
      </c>
      <c r="F221" s="3">
        <f t="shared" si="6"/>
        <v>1.2</v>
      </c>
      <c r="G221" s="3">
        <f t="shared" si="7"/>
        <v>5.2</v>
      </c>
    </row>
    <row r="222" spans="1:7" x14ac:dyDescent="0.35">
      <c r="A222" s="4">
        <v>220512</v>
      </c>
      <c r="B222" s="6" t="s">
        <v>236</v>
      </c>
      <c r="C222" s="5" t="s">
        <v>209</v>
      </c>
      <c r="D222" s="4">
        <v>252</v>
      </c>
      <c r="E222" s="2">
        <v>4</v>
      </c>
      <c r="F222" s="3">
        <f t="shared" si="6"/>
        <v>1.68</v>
      </c>
      <c r="G222" s="3">
        <f t="shared" si="7"/>
        <v>5.68</v>
      </c>
    </row>
  </sheetData>
  <conditionalFormatting sqref="B14">
    <cfRule type="duplicateValues" dxfId="57" priority="54"/>
  </conditionalFormatting>
  <conditionalFormatting sqref="B21">
    <cfRule type="duplicateValues" dxfId="56" priority="21"/>
  </conditionalFormatting>
  <conditionalFormatting sqref="B22">
    <cfRule type="duplicateValues" dxfId="55" priority="8"/>
    <cfRule type="duplicateValues" dxfId="54" priority="9"/>
  </conditionalFormatting>
  <conditionalFormatting sqref="B24">
    <cfRule type="duplicateValues" dxfId="53" priority="56"/>
  </conditionalFormatting>
  <conditionalFormatting sqref="B40">
    <cfRule type="duplicateValues" dxfId="52" priority="15"/>
    <cfRule type="duplicateValues" dxfId="51" priority="16"/>
  </conditionalFormatting>
  <conditionalFormatting sqref="B44">
    <cfRule type="duplicateValues" dxfId="50" priority="22"/>
  </conditionalFormatting>
  <conditionalFormatting sqref="B52">
    <cfRule type="duplicateValues" dxfId="49" priority="23"/>
  </conditionalFormatting>
  <conditionalFormatting sqref="B60">
    <cfRule type="duplicateValues" dxfId="48" priority="24"/>
  </conditionalFormatting>
  <conditionalFormatting sqref="B62">
    <cfRule type="duplicateValues" dxfId="47" priority="50"/>
  </conditionalFormatting>
  <conditionalFormatting sqref="B63">
    <cfRule type="duplicateValues" dxfId="46" priority="13"/>
    <cfRule type="duplicateValues" dxfId="45" priority="14"/>
  </conditionalFormatting>
  <conditionalFormatting sqref="B64">
    <cfRule type="duplicateValues" dxfId="44" priority="51"/>
  </conditionalFormatting>
  <conditionalFormatting sqref="B66">
    <cfRule type="duplicateValues" dxfId="43" priority="11"/>
    <cfRule type="duplicateValues" dxfId="42" priority="12"/>
  </conditionalFormatting>
  <conditionalFormatting sqref="B67:B68">
    <cfRule type="duplicateValues" dxfId="41" priority="25"/>
  </conditionalFormatting>
  <conditionalFormatting sqref="B71">
    <cfRule type="duplicateValues" dxfId="40" priority="26"/>
  </conditionalFormatting>
  <conditionalFormatting sqref="B78">
    <cfRule type="duplicateValues" dxfId="39" priority="27"/>
  </conditionalFormatting>
  <conditionalFormatting sqref="B82">
    <cfRule type="duplicateValues" dxfId="38" priority="28"/>
  </conditionalFormatting>
  <conditionalFormatting sqref="B83">
    <cfRule type="duplicateValues" dxfId="37" priority="29"/>
  </conditionalFormatting>
  <conditionalFormatting sqref="B84:B85">
    <cfRule type="duplicateValues" dxfId="36" priority="57"/>
  </conditionalFormatting>
  <conditionalFormatting sqref="B86">
    <cfRule type="duplicateValues" dxfId="35" priority="30"/>
  </conditionalFormatting>
  <conditionalFormatting sqref="B87">
    <cfRule type="duplicateValues" dxfId="34" priority="19"/>
  </conditionalFormatting>
  <conditionalFormatting sqref="B88">
    <cfRule type="duplicateValues" dxfId="33" priority="31"/>
  </conditionalFormatting>
  <conditionalFormatting sqref="B89:B90">
    <cfRule type="duplicateValues" dxfId="32" priority="32"/>
  </conditionalFormatting>
  <conditionalFormatting sqref="B92">
    <cfRule type="duplicateValues" dxfId="31" priority="33"/>
  </conditionalFormatting>
  <conditionalFormatting sqref="B94">
    <cfRule type="duplicateValues" dxfId="30" priority="17"/>
    <cfRule type="duplicateValues" dxfId="29" priority="18"/>
  </conditionalFormatting>
  <conditionalFormatting sqref="B96">
    <cfRule type="duplicateValues" dxfId="28" priority="34"/>
  </conditionalFormatting>
  <conditionalFormatting sqref="B102">
    <cfRule type="duplicateValues" dxfId="27" priority="53"/>
  </conditionalFormatting>
  <conditionalFormatting sqref="B103">
    <cfRule type="duplicateValues" dxfId="26" priority="35"/>
  </conditionalFormatting>
  <conditionalFormatting sqref="B104">
    <cfRule type="duplicateValues" dxfId="25" priority="36"/>
  </conditionalFormatting>
  <conditionalFormatting sqref="B109">
    <cfRule type="duplicateValues" dxfId="24" priority="37"/>
  </conditionalFormatting>
  <conditionalFormatting sqref="B114">
    <cfRule type="duplicateValues" dxfId="23" priority="10"/>
  </conditionalFormatting>
  <conditionalFormatting sqref="B115">
    <cfRule type="duplicateValues" dxfId="22" priority="38"/>
  </conditionalFormatting>
  <conditionalFormatting sqref="B116">
    <cfRule type="duplicateValues" dxfId="21" priority="39"/>
  </conditionalFormatting>
  <conditionalFormatting sqref="B122">
    <cfRule type="duplicateValues" dxfId="20" priority="40"/>
  </conditionalFormatting>
  <conditionalFormatting sqref="B141:B142">
    <cfRule type="duplicateValues" dxfId="19" priority="58"/>
    <cfRule type="duplicateValues" dxfId="18" priority="59"/>
  </conditionalFormatting>
  <conditionalFormatting sqref="B145:B151">
    <cfRule type="duplicateValues" dxfId="17" priority="55"/>
  </conditionalFormatting>
  <conditionalFormatting sqref="B152">
    <cfRule type="duplicateValues" dxfId="16" priority="52"/>
  </conditionalFormatting>
  <conditionalFormatting sqref="B164">
    <cfRule type="duplicateValues" dxfId="15" priority="41"/>
  </conditionalFormatting>
  <conditionalFormatting sqref="B179">
    <cfRule type="duplicateValues" dxfId="14" priority="42"/>
  </conditionalFormatting>
  <conditionalFormatting sqref="B184">
    <cfRule type="duplicateValues" dxfId="13" priority="43"/>
  </conditionalFormatting>
  <conditionalFormatting sqref="B188">
    <cfRule type="duplicateValues" dxfId="12" priority="44"/>
  </conditionalFormatting>
  <conditionalFormatting sqref="B215:B216">
    <cfRule type="duplicateValues" dxfId="11" priority="45"/>
  </conditionalFormatting>
  <conditionalFormatting sqref="B218:B219">
    <cfRule type="duplicateValues" dxfId="10" priority="46"/>
  </conditionalFormatting>
  <conditionalFormatting sqref="B220">
    <cfRule type="duplicateValues" dxfId="9" priority="47"/>
  </conditionalFormatting>
  <conditionalFormatting sqref="B221 B168:B178 B134:B140 B156:B163 B65 B124:B131 B117:B121 B217 B23 B45:B61 B72:B77 B79:B81 B105:B108 B110:B113 B180:B183 B185:B187 B153:B154 B189:B207 B212:B214 B91 B97:B101 B93 B17:B20 B25:B39 B95 B2:B14 B143:B144 B41:B43 B67:B70">
    <cfRule type="duplicateValues" dxfId="8" priority="48"/>
    <cfRule type="duplicateValues" dxfId="7" priority="49"/>
  </conditionalFormatting>
  <conditionalFormatting sqref="D98">
    <cfRule type="containsText" dxfId="6" priority="2" operator="containsText" text="A">
      <formula>NOT(ISERROR(SEARCH(("A"),(D98))))</formula>
    </cfRule>
    <cfRule type="containsText" dxfId="5" priority="3" operator="containsText" text="B">
      <formula>NOT(ISERROR(SEARCH(("B"),(D98))))</formula>
    </cfRule>
    <cfRule type="containsText" dxfId="4" priority="4" operator="containsText" text="C">
      <formula>NOT(ISERROR(SEARCH(("C"),(D98))))</formula>
    </cfRule>
    <cfRule type="containsText" dxfId="3" priority="5" operator="containsText" text="D">
      <formula>NOT(ISERROR(SEARCH(("D"),(D98))))</formula>
    </cfRule>
    <cfRule type="containsText" dxfId="2" priority="6" operator="containsText" text="E">
      <formula>NOT(ISERROR(SEARCH(("E"),(D98))))</formula>
    </cfRule>
    <cfRule type="containsText" dxfId="1" priority="7" operator="containsText" text="U">
      <formula>NOT(ISERROR(SEARCH(("U"),(D98))))</formula>
    </cfRule>
  </conditionalFormatting>
  <conditionalFormatting sqref="A1:G1">
    <cfRule type="cellIs" dxfId="0" priority="1" operator="between">
      <formula>1</formula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Sidharth Singh</dc:creator>
  <cp:lastModifiedBy>Sidharth Singh</cp:lastModifiedBy>
  <dcterms:created xsi:type="dcterms:W3CDTF">2026-09-29T16:37:09Z</dcterms:created>
  <dcterms:modified xsi:type="dcterms:W3CDTF">2026-09-29T16:38:19Z</dcterms:modified>
</cp:coreProperties>
</file>